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60C241C68A590F5A/ABACUS/"/>
    </mc:Choice>
  </mc:AlternateContent>
  <xr:revisionPtr revIDLastSave="0" documentId="8_{ECDB8B58-23A6-41FC-8771-ADEFE1C911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Master" sheetId="4" r:id="rId1"/>
    <sheet name="28-Dec-COMPETITION STUDENTS" sheetId="22" r:id="rId2"/>
    <sheet name="Sheet1" sheetId="21" r:id="rId3"/>
    <sheet name="Level Details" sheetId="10" r:id="rId4"/>
    <sheet name="S0" sheetId="9" state="hidden" r:id="rId5"/>
    <sheet name="S1" sheetId="11" state="hidden" r:id="rId6"/>
    <sheet name="WIP-D" sheetId="14" r:id="rId7"/>
    <sheet name="D0" sheetId="19" r:id="rId8"/>
    <sheet name="D1" sheetId="17" r:id="rId9"/>
    <sheet name="D2" sheetId="16" r:id="rId10"/>
    <sheet name="D4" sheetId="20" r:id="rId11"/>
    <sheet name="D3" sheetId="18" r:id="rId12"/>
    <sheet name="Trophy Nomination-Distribution" sheetId="13" r:id="rId13"/>
    <sheet name="TimeTable" sheetId="12" r:id="rId14"/>
    <sheet name="Smart Kid Purchse Tracking" sheetId="15" r:id="rId15"/>
  </sheets>
  <definedNames>
    <definedName name="_xlnm._FilterDatabase" localSheetId="4" hidden="1">S0!$B$2:$H$41</definedName>
    <definedName name="_xlnm._FilterDatabase" localSheetId="6" hidden="1">'WIP-D'!$D$5:$K$5</definedName>
    <definedName name="_xlnm._FilterDatabase" localSheetId="0" hidden="1">'Student Master'!$A$2:$AG$2</definedName>
    <definedName name="_xlnm._FilterDatabase" localSheetId="1" hidden="1">'28-Dec-COMPETITION STUDENTS'!$A$2:$I$2</definedName>
  </definedNames>
  <calcPr calcId="191028"/>
  <pivotCaches>
    <pivotCache cacheId="134" r:id="rId16"/>
    <pivotCache cacheId="135" r:id="rId17"/>
    <pivotCache cacheId="136" r:id="rId18"/>
    <pivotCache cacheId="137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2" i="4" l="1"/>
  <c r="H123" i="4"/>
  <c r="H140" i="4"/>
  <c r="H104" i="4"/>
  <c r="H62" i="4"/>
  <c r="I4" i="21"/>
  <c r="H150" i="4"/>
  <c r="H146" i="4"/>
  <c r="H148" i="4"/>
  <c r="R134" i="4"/>
  <c r="S134" i="4"/>
  <c r="H134" i="4"/>
  <c r="H65" i="4"/>
  <c r="H189" i="4"/>
  <c r="H191" i="4"/>
  <c r="H103" i="4"/>
  <c r="H181" i="4"/>
  <c r="H183" i="4"/>
  <c r="H176" i="4"/>
  <c r="H171" i="4"/>
  <c r="H169" i="4"/>
  <c r="H131" i="4"/>
  <c r="H111" i="4"/>
  <c r="H77" i="4"/>
  <c r="H61" i="4"/>
  <c r="H3" i="4"/>
  <c r="H4" i="4"/>
  <c r="H5" i="4"/>
  <c r="H6" i="4"/>
  <c r="I1" i="4"/>
  <c r="J1" i="4"/>
  <c r="K1" i="4"/>
  <c r="L1" i="4"/>
  <c r="AA52" i="4"/>
  <c r="AA54" i="4"/>
  <c r="AE57" i="4"/>
  <c r="AA57" i="4"/>
  <c r="AA59" i="4"/>
  <c r="AA63" i="4"/>
  <c r="AA1" i="4"/>
  <c r="AB60" i="4"/>
  <c r="AB64" i="4"/>
  <c r="AB93" i="4"/>
  <c r="AB210" i="4"/>
  <c r="AB1" i="4"/>
  <c r="R3" i="4"/>
  <c r="S3" i="4"/>
  <c r="R4" i="4"/>
  <c r="S4" i="4"/>
  <c r="R5" i="4"/>
  <c r="S5" i="4"/>
  <c r="R6" i="4"/>
  <c r="S6" i="4"/>
  <c r="H7" i="4"/>
  <c r="R7" i="4"/>
  <c r="S7" i="4"/>
  <c r="H8" i="4"/>
  <c r="R8" i="4"/>
  <c r="S8" i="4"/>
  <c r="H9" i="4"/>
  <c r="R9" i="4"/>
  <c r="S9" i="4"/>
  <c r="H10" i="4"/>
  <c r="R10" i="4"/>
  <c r="S10" i="4"/>
  <c r="H11" i="4"/>
  <c r="R11" i="4"/>
  <c r="S11" i="4"/>
  <c r="H12" i="4"/>
  <c r="R12" i="4"/>
  <c r="S12" i="4"/>
  <c r="H13" i="4"/>
  <c r="R13" i="4"/>
  <c r="S13" i="4"/>
  <c r="H14" i="4"/>
  <c r="R14" i="4"/>
  <c r="S14" i="4"/>
  <c r="H15" i="4"/>
  <c r="R15" i="4"/>
  <c r="S15" i="4"/>
  <c r="H16" i="4"/>
  <c r="R16" i="4"/>
  <c r="S16" i="4"/>
  <c r="H17" i="4"/>
  <c r="R17" i="4"/>
  <c r="S17" i="4"/>
  <c r="H18" i="4"/>
  <c r="R18" i="4"/>
  <c r="S18" i="4"/>
  <c r="H19" i="4"/>
  <c r="R19" i="4"/>
  <c r="S19" i="4"/>
  <c r="H20" i="4"/>
  <c r="R20" i="4"/>
  <c r="S20" i="4"/>
  <c r="H21" i="4"/>
  <c r="R21" i="4"/>
  <c r="S21" i="4"/>
  <c r="H22" i="4"/>
  <c r="R22" i="4"/>
  <c r="S22" i="4"/>
  <c r="H23" i="4"/>
  <c r="R23" i="4"/>
  <c r="S23" i="4"/>
  <c r="H24" i="4"/>
  <c r="R24" i="4"/>
  <c r="S24" i="4"/>
  <c r="H25" i="4"/>
  <c r="R25" i="4"/>
  <c r="S25" i="4"/>
  <c r="H26" i="4"/>
  <c r="R26" i="4"/>
  <c r="S26" i="4"/>
  <c r="H27" i="4"/>
  <c r="R27" i="4"/>
  <c r="S27" i="4"/>
  <c r="H28" i="4"/>
  <c r="R28" i="4"/>
  <c r="S28" i="4"/>
  <c r="H29" i="4"/>
  <c r="R29" i="4"/>
  <c r="S29" i="4"/>
  <c r="H30" i="4"/>
  <c r="R30" i="4"/>
  <c r="S30" i="4"/>
  <c r="H31" i="4"/>
  <c r="R31" i="4"/>
  <c r="S31" i="4"/>
  <c r="H32" i="4"/>
  <c r="R32" i="4"/>
  <c r="S32" i="4"/>
  <c r="H33" i="4"/>
  <c r="H34" i="4"/>
  <c r="R34" i="4"/>
  <c r="S34" i="4"/>
  <c r="H35" i="4"/>
  <c r="R35" i="4"/>
  <c r="S35" i="4"/>
  <c r="H36" i="4"/>
  <c r="R36" i="4"/>
  <c r="S36" i="4"/>
  <c r="H37" i="4"/>
  <c r="R37" i="4"/>
  <c r="S37" i="4"/>
  <c r="H38" i="4"/>
  <c r="H39" i="4"/>
  <c r="R39" i="4"/>
  <c r="S39" i="4"/>
  <c r="H40" i="4"/>
  <c r="R40" i="4"/>
  <c r="S40" i="4"/>
  <c r="H41" i="4"/>
  <c r="R41" i="4"/>
  <c r="S41" i="4"/>
  <c r="H42" i="4"/>
  <c r="R42" i="4"/>
  <c r="S42" i="4"/>
  <c r="H43" i="4"/>
  <c r="R43" i="4"/>
  <c r="S43" i="4"/>
  <c r="H44" i="4"/>
  <c r="R44" i="4"/>
  <c r="S44" i="4"/>
  <c r="H45" i="4"/>
  <c r="R45" i="4"/>
  <c r="S45" i="4"/>
  <c r="H46" i="4"/>
  <c r="R46" i="4"/>
  <c r="S46" i="4"/>
  <c r="H47" i="4"/>
  <c r="R47" i="4"/>
  <c r="S47" i="4"/>
  <c r="H48" i="4"/>
  <c r="R48" i="4"/>
  <c r="S48" i="4"/>
  <c r="H49" i="4"/>
  <c r="R49" i="4"/>
  <c r="S49" i="4"/>
  <c r="H50" i="4"/>
  <c r="R50" i="4"/>
  <c r="S50" i="4"/>
  <c r="H51" i="4"/>
  <c r="R51" i="4"/>
  <c r="S51" i="4"/>
  <c r="H52" i="4"/>
  <c r="R52" i="4"/>
  <c r="S52" i="4"/>
  <c r="H53" i="4"/>
  <c r="R53" i="4"/>
  <c r="S53" i="4"/>
  <c r="H54" i="4"/>
  <c r="R54" i="4"/>
  <c r="S54" i="4"/>
  <c r="H55" i="4"/>
  <c r="S55" i="4"/>
  <c r="H56" i="4"/>
  <c r="R56" i="4"/>
  <c r="S56" i="4"/>
  <c r="H57" i="4"/>
  <c r="R57" i="4"/>
  <c r="S57" i="4"/>
  <c r="H58" i="4"/>
  <c r="R58" i="4"/>
  <c r="S58" i="4"/>
  <c r="H59" i="4"/>
  <c r="R59" i="4"/>
  <c r="S59" i="4"/>
  <c r="H60" i="4"/>
  <c r="R60" i="4"/>
  <c r="S60" i="4"/>
  <c r="H63" i="4"/>
  <c r="R63" i="4"/>
  <c r="S63" i="4"/>
  <c r="H64" i="4"/>
  <c r="R64" i="4"/>
  <c r="H66" i="4"/>
  <c r="R66" i="4"/>
  <c r="S66" i="4"/>
  <c r="H67" i="4"/>
  <c r="R67" i="4"/>
  <c r="S67" i="4"/>
  <c r="H68" i="4"/>
  <c r="R68" i="4"/>
  <c r="S68" i="4"/>
  <c r="H69" i="4"/>
  <c r="R69" i="4"/>
  <c r="S69" i="4"/>
  <c r="H70" i="4"/>
  <c r="H71" i="4"/>
  <c r="R71" i="4"/>
  <c r="S71" i="4"/>
  <c r="H72" i="4"/>
  <c r="R72" i="4"/>
  <c r="S72" i="4"/>
  <c r="H73" i="4"/>
  <c r="R73" i="4"/>
  <c r="S73" i="4"/>
  <c r="H74" i="4"/>
  <c r="R74" i="4"/>
  <c r="S74" i="4"/>
  <c r="H75" i="4"/>
  <c r="R75" i="4"/>
  <c r="S75" i="4"/>
  <c r="H76" i="4"/>
  <c r="H78" i="4"/>
  <c r="R78" i="4"/>
  <c r="S78" i="4"/>
  <c r="H79" i="4"/>
  <c r="R79" i="4"/>
  <c r="S79" i="4"/>
  <c r="H80" i="4"/>
  <c r="R80" i="4"/>
  <c r="S80" i="4"/>
  <c r="R81" i="4"/>
  <c r="S81" i="4"/>
  <c r="R82" i="4"/>
  <c r="H83" i="4"/>
  <c r="R83" i="4"/>
  <c r="S83" i="4"/>
  <c r="H84" i="4"/>
  <c r="R84" i="4"/>
  <c r="S84" i="4"/>
  <c r="H85" i="4"/>
  <c r="R85" i="4"/>
  <c r="S85" i="4"/>
  <c r="H87" i="4"/>
  <c r="R87" i="4"/>
  <c r="S87" i="4"/>
  <c r="H88" i="4"/>
  <c r="R88" i="4"/>
  <c r="S88" i="4"/>
  <c r="H89" i="4"/>
  <c r="R89" i="4"/>
  <c r="S89" i="4"/>
  <c r="H90" i="4"/>
  <c r="R90" i="4"/>
  <c r="S90" i="4"/>
  <c r="H91" i="4"/>
  <c r="H92" i="4"/>
  <c r="R92" i="4"/>
  <c r="S92" i="4"/>
  <c r="H93" i="4"/>
  <c r="R93" i="4"/>
  <c r="S93" i="4"/>
  <c r="H94" i="4"/>
  <c r="H95" i="4"/>
  <c r="R95" i="4"/>
  <c r="S95" i="4"/>
  <c r="H96" i="4"/>
  <c r="R96" i="4"/>
  <c r="S96" i="4"/>
  <c r="H97" i="4"/>
  <c r="R97" i="4"/>
  <c r="S97" i="4"/>
  <c r="H98" i="4"/>
  <c r="R98" i="4"/>
  <c r="S98" i="4"/>
  <c r="H99" i="4"/>
  <c r="R99" i="4"/>
  <c r="S99" i="4"/>
  <c r="H100" i="4"/>
  <c r="R100" i="4"/>
  <c r="S100" i="4"/>
  <c r="H101" i="4"/>
  <c r="R101" i="4"/>
  <c r="S101" i="4"/>
  <c r="H102" i="4"/>
  <c r="R102" i="4"/>
  <c r="S102" i="4"/>
  <c r="H105" i="4"/>
  <c r="R105" i="4"/>
  <c r="S105" i="4"/>
  <c r="H106" i="4"/>
  <c r="R106" i="4"/>
  <c r="S106" i="4"/>
  <c r="H107" i="4"/>
  <c r="R107" i="4"/>
  <c r="S107" i="4"/>
  <c r="H108" i="4"/>
  <c r="R108" i="4"/>
  <c r="S108" i="4"/>
  <c r="H109" i="4"/>
  <c r="R109" i="4"/>
  <c r="S109" i="4"/>
  <c r="H110" i="4"/>
  <c r="R110" i="4"/>
  <c r="S110" i="4"/>
  <c r="H112" i="4"/>
  <c r="R112" i="4"/>
  <c r="S112" i="4"/>
  <c r="H113" i="4"/>
  <c r="R113" i="4"/>
  <c r="S113" i="4"/>
  <c r="H114" i="4"/>
  <c r="R114" i="4"/>
  <c r="S114" i="4"/>
  <c r="H115" i="4"/>
  <c r="R115" i="4"/>
  <c r="S115" i="4"/>
  <c r="H116" i="4"/>
  <c r="R116" i="4"/>
  <c r="S116" i="4"/>
  <c r="H117" i="4"/>
  <c r="R117" i="4"/>
  <c r="S117" i="4"/>
  <c r="H118" i="4"/>
  <c r="R118" i="4"/>
  <c r="S118" i="4"/>
  <c r="H119" i="4"/>
  <c r="R119" i="4"/>
  <c r="S119" i="4"/>
  <c r="H120" i="4"/>
  <c r="R120" i="4"/>
  <c r="S120" i="4"/>
  <c r="H121" i="4"/>
  <c r="R121" i="4"/>
  <c r="S121" i="4"/>
  <c r="H122" i="4"/>
  <c r="R122" i="4"/>
  <c r="S122" i="4"/>
  <c r="H124" i="4"/>
  <c r="R124" i="4"/>
  <c r="S124" i="4"/>
  <c r="H125" i="4"/>
  <c r="R125" i="4"/>
  <c r="S125" i="4"/>
  <c r="H126" i="4"/>
  <c r="R126" i="4"/>
  <c r="S126" i="4"/>
  <c r="H127" i="4"/>
  <c r="H128" i="4"/>
  <c r="R128" i="4"/>
  <c r="S128" i="4"/>
  <c r="H129" i="4"/>
  <c r="R129" i="4"/>
  <c r="S129" i="4"/>
  <c r="H130" i="4"/>
  <c r="H133" i="4"/>
  <c r="R133" i="4"/>
  <c r="S133" i="4"/>
  <c r="H135" i="4"/>
  <c r="R135" i="4"/>
  <c r="S135" i="4"/>
  <c r="H136" i="4"/>
  <c r="R136" i="4"/>
  <c r="S136" i="4"/>
  <c r="H137" i="4"/>
  <c r="H138" i="4"/>
  <c r="R138" i="4"/>
  <c r="S138" i="4"/>
  <c r="H139" i="4"/>
  <c r="H141" i="4"/>
  <c r="R141" i="4"/>
  <c r="S141" i="4"/>
  <c r="H142" i="4"/>
  <c r="H143" i="4"/>
  <c r="R143" i="4"/>
  <c r="S143" i="4"/>
  <c r="H144" i="4"/>
  <c r="H145" i="4"/>
  <c r="R145" i="4"/>
  <c r="S145" i="4"/>
  <c r="H147" i="4"/>
  <c r="R147" i="4"/>
  <c r="S147" i="4"/>
  <c r="H149" i="4"/>
  <c r="R149" i="4"/>
  <c r="S149" i="4"/>
  <c r="H151" i="4"/>
  <c r="R151" i="4"/>
  <c r="S151" i="4"/>
  <c r="H152" i="4"/>
  <c r="R152" i="4"/>
  <c r="S152" i="4"/>
  <c r="H156" i="4"/>
  <c r="R156" i="4"/>
  <c r="S156" i="4"/>
  <c r="H157" i="4"/>
  <c r="R157" i="4"/>
  <c r="S157" i="4"/>
  <c r="H158" i="4"/>
  <c r="R158" i="4"/>
  <c r="S158" i="4"/>
  <c r="H159" i="4"/>
  <c r="R159" i="4"/>
  <c r="S159" i="4"/>
  <c r="H162" i="4"/>
  <c r="R162" i="4"/>
  <c r="S162" i="4"/>
  <c r="H163" i="4"/>
  <c r="R163" i="4"/>
  <c r="S163" i="4"/>
  <c r="H167" i="4"/>
  <c r="R167" i="4"/>
  <c r="S167" i="4"/>
  <c r="H168" i="4"/>
  <c r="H170" i="4"/>
  <c r="H172" i="4"/>
  <c r="H173" i="4"/>
  <c r="H174" i="4"/>
  <c r="H175" i="4"/>
  <c r="H177" i="4"/>
  <c r="H180" i="4"/>
  <c r="H182" i="4"/>
  <c r="H184" i="4"/>
  <c r="H187" i="4"/>
  <c r="H188" i="4"/>
  <c r="H190" i="4"/>
  <c r="H192" i="4"/>
  <c r="H193" i="4"/>
  <c r="H194" i="4"/>
  <c r="H195" i="4"/>
  <c r="H197" i="4"/>
  <c r="F46" i="14"/>
  <c r="E46" i="14"/>
  <c r="D46" i="14"/>
  <c r="F45" i="14"/>
  <c r="E45" i="14"/>
  <c r="D45" i="14"/>
  <c r="F44" i="14"/>
  <c r="E44" i="14"/>
  <c r="D44" i="14"/>
  <c r="F43" i="14"/>
  <c r="E43" i="14"/>
  <c r="D43" i="14"/>
  <c r="F42" i="14"/>
  <c r="E42" i="14"/>
  <c r="D42" i="14"/>
  <c r="F41" i="14"/>
  <c r="E41" i="14"/>
  <c r="D41" i="14"/>
  <c r="F40" i="14"/>
  <c r="E40" i="14"/>
  <c r="D40" i="14"/>
  <c r="F39" i="14"/>
  <c r="E39" i="14"/>
  <c r="D39" i="14"/>
  <c r="F38" i="14"/>
  <c r="E38" i="14"/>
  <c r="D38" i="14"/>
  <c r="F37" i="14"/>
  <c r="E37" i="14"/>
  <c r="D37" i="14"/>
  <c r="F36" i="14"/>
  <c r="E36" i="14"/>
  <c r="D36" i="14"/>
  <c r="F35" i="14"/>
  <c r="E35" i="14"/>
  <c r="D35" i="14"/>
  <c r="F34" i="14"/>
  <c r="E34" i="14"/>
  <c r="D34" i="14"/>
  <c r="F33" i="14"/>
  <c r="E33" i="14"/>
  <c r="D33" i="14"/>
  <c r="F32" i="14"/>
  <c r="E32" i="14"/>
  <c r="D32" i="14"/>
  <c r="F31" i="14"/>
  <c r="E31" i="14"/>
  <c r="D31" i="14"/>
  <c r="F30" i="14"/>
  <c r="E30" i="14"/>
  <c r="D30" i="14"/>
  <c r="F29" i="14"/>
  <c r="E29" i="14"/>
  <c r="D29" i="14"/>
  <c r="F28" i="14"/>
  <c r="E28" i="14"/>
  <c r="D28" i="14"/>
  <c r="F27" i="14"/>
  <c r="E27" i="14"/>
  <c r="D27" i="14"/>
  <c r="F26" i="14"/>
  <c r="E26" i="14"/>
  <c r="D26" i="14"/>
  <c r="F25" i="14"/>
  <c r="E25" i="14"/>
  <c r="D25" i="14"/>
  <c r="F24" i="14"/>
  <c r="E24" i="14"/>
  <c r="D24" i="14"/>
  <c r="F23" i="14"/>
  <c r="E23" i="14"/>
  <c r="D23" i="14"/>
  <c r="F22" i="14"/>
  <c r="E22" i="14"/>
  <c r="D22" i="14"/>
  <c r="F21" i="14"/>
  <c r="E21" i="14"/>
  <c r="D21" i="14"/>
  <c r="F20" i="14"/>
  <c r="E20" i="14"/>
  <c r="D20" i="14"/>
  <c r="F19" i="14"/>
  <c r="E19" i="14"/>
  <c r="D19" i="14"/>
  <c r="F18" i="14"/>
  <c r="E18" i="14"/>
  <c r="D18" i="14"/>
  <c r="F17" i="14"/>
  <c r="E17" i="14"/>
  <c r="D17" i="14"/>
  <c r="F16" i="14"/>
  <c r="E16" i="14"/>
  <c r="D16" i="14"/>
  <c r="F15" i="14"/>
  <c r="E15" i="14"/>
  <c r="D15" i="14"/>
  <c r="F14" i="14"/>
  <c r="E14" i="14"/>
  <c r="D14" i="14"/>
  <c r="F13" i="14"/>
  <c r="E13" i="14"/>
  <c r="D13" i="14"/>
  <c r="F12" i="14"/>
  <c r="E12" i="14"/>
  <c r="D12" i="14"/>
  <c r="F11" i="14"/>
  <c r="E11" i="14"/>
  <c r="D11" i="14"/>
  <c r="F10" i="14"/>
  <c r="E10" i="14"/>
  <c r="D10" i="14"/>
  <c r="F9" i="14"/>
  <c r="E9" i="14"/>
  <c r="D9" i="14"/>
  <c r="F8" i="14"/>
  <c r="E8" i="14"/>
  <c r="D8" i="14"/>
  <c r="F7" i="14"/>
  <c r="E7" i="14"/>
  <c r="D7" i="14"/>
  <c r="F6" i="14"/>
  <c r="E6" i="14"/>
  <c r="D6" i="14"/>
  <c r="F2" i="14"/>
  <c r="H103" i="20"/>
  <c r="I103" i="20"/>
  <c r="H102" i="20"/>
  <c r="I102" i="20"/>
  <c r="H101" i="20"/>
  <c r="I101" i="20"/>
  <c r="H100" i="20"/>
  <c r="I100" i="20"/>
  <c r="H99" i="20"/>
  <c r="I99" i="20"/>
  <c r="H98" i="20"/>
  <c r="I98" i="20"/>
  <c r="H97" i="20"/>
  <c r="I97" i="20"/>
  <c r="H96" i="20"/>
  <c r="I96" i="20"/>
  <c r="H95" i="20"/>
  <c r="I95" i="20"/>
  <c r="H94" i="20"/>
  <c r="I94" i="20"/>
  <c r="H93" i="20"/>
  <c r="I93" i="20"/>
  <c r="H92" i="20"/>
  <c r="I92" i="20"/>
  <c r="H91" i="20"/>
  <c r="I91" i="20"/>
  <c r="H90" i="20"/>
  <c r="I90" i="20"/>
  <c r="H89" i="20"/>
  <c r="I89" i="20"/>
  <c r="H88" i="20"/>
  <c r="I88" i="20"/>
  <c r="H87" i="20"/>
  <c r="I87" i="20"/>
  <c r="H86" i="20"/>
  <c r="I86" i="20"/>
  <c r="H85" i="20"/>
  <c r="I85" i="20"/>
  <c r="H84" i="20"/>
  <c r="I84" i="20"/>
  <c r="H83" i="20"/>
  <c r="I83" i="20"/>
  <c r="H82" i="20"/>
  <c r="I82" i="20"/>
  <c r="H81" i="20"/>
  <c r="I81" i="20"/>
  <c r="H80" i="20"/>
  <c r="I80" i="20"/>
  <c r="H79" i="20"/>
  <c r="I79" i="20"/>
  <c r="H78" i="20"/>
  <c r="I78" i="20"/>
  <c r="H77" i="20"/>
  <c r="I77" i="20"/>
  <c r="H76" i="20"/>
  <c r="I76" i="20"/>
  <c r="H75" i="20"/>
  <c r="I75" i="20"/>
  <c r="H74" i="20"/>
  <c r="I74" i="20"/>
  <c r="H73" i="20"/>
  <c r="I73" i="20"/>
  <c r="H72" i="20"/>
  <c r="I72" i="20"/>
  <c r="H71" i="20"/>
  <c r="I71" i="20"/>
  <c r="H70" i="20"/>
  <c r="I70" i="20"/>
  <c r="H69" i="20"/>
  <c r="I69" i="20"/>
  <c r="H68" i="20"/>
  <c r="I68" i="20"/>
  <c r="H67" i="20"/>
  <c r="I67" i="20"/>
  <c r="H66" i="20"/>
  <c r="I66" i="20"/>
  <c r="H65" i="20"/>
  <c r="I65" i="20"/>
  <c r="H64" i="20"/>
  <c r="I64" i="20"/>
  <c r="H63" i="20"/>
  <c r="I63" i="20"/>
  <c r="H62" i="20"/>
  <c r="I62" i="20"/>
  <c r="H61" i="20"/>
  <c r="I61" i="20"/>
  <c r="H60" i="20"/>
  <c r="I60" i="20"/>
  <c r="H59" i="20"/>
  <c r="I59" i="20"/>
  <c r="H58" i="20"/>
  <c r="I58" i="20"/>
  <c r="H57" i="20"/>
  <c r="I57" i="20"/>
  <c r="H56" i="20"/>
  <c r="I56" i="20"/>
  <c r="H55" i="20"/>
  <c r="I55" i="20"/>
  <c r="H54" i="20"/>
  <c r="I54" i="20"/>
  <c r="H53" i="20"/>
  <c r="I53" i="20"/>
  <c r="H52" i="20"/>
  <c r="I52" i="20"/>
  <c r="H51" i="20"/>
  <c r="I51" i="20"/>
  <c r="H50" i="20"/>
  <c r="I50" i="20"/>
  <c r="H49" i="20"/>
  <c r="I49" i="20"/>
  <c r="H48" i="20"/>
  <c r="I48" i="20"/>
  <c r="H47" i="20"/>
  <c r="I47" i="20"/>
  <c r="H46" i="20"/>
  <c r="I46" i="20"/>
  <c r="H45" i="20"/>
  <c r="I45" i="20"/>
  <c r="H44" i="20"/>
  <c r="I44" i="20"/>
  <c r="H43" i="20"/>
  <c r="I43" i="20"/>
  <c r="H42" i="20"/>
  <c r="I42" i="20"/>
  <c r="H41" i="20"/>
  <c r="I41" i="20"/>
  <c r="H40" i="20"/>
  <c r="I40" i="20"/>
  <c r="H39" i="20"/>
  <c r="I39" i="20"/>
  <c r="H38" i="20"/>
  <c r="I38" i="20"/>
  <c r="H37" i="20"/>
  <c r="I37" i="20"/>
  <c r="H36" i="20"/>
  <c r="I36" i="20"/>
  <c r="H35" i="20"/>
  <c r="I35" i="20"/>
  <c r="H34" i="20"/>
  <c r="I34" i="20"/>
  <c r="H33" i="20"/>
  <c r="I33" i="20"/>
  <c r="H32" i="20"/>
  <c r="I32" i="20"/>
  <c r="H31" i="20"/>
  <c r="I31" i="20"/>
  <c r="H30" i="20"/>
  <c r="I30" i="20"/>
  <c r="H29" i="20"/>
  <c r="I29" i="20"/>
  <c r="H28" i="20"/>
  <c r="I28" i="20"/>
  <c r="H27" i="20"/>
  <c r="I27" i="20"/>
  <c r="H26" i="20"/>
  <c r="I26" i="20"/>
  <c r="H25" i="20"/>
  <c r="I25" i="20"/>
  <c r="H24" i="20"/>
  <c r="I24" i="20"/>
  <c r="H23" i="20"/>
  <c r="I23" i="20"/>
  <c r="H22" i="20"/>
  <c r="I22" i="20"/>
  <c r="H21" i="20"/>
  <c r="I21" i="20"/>
  <c r="H20" i="20"/>
  <c r="I20" i="20"/>
  <c r="H19" i="20"/>
  <c r="I19" i="20"/>
  <c r="H18" i="20"/>
  <c r="I18" i="20"/>
  <c r="H17" i="20"/>
  <c r="I17" i="20"/>
  <c r="H16" i="20"/>
  <c r="I16" i="20"/>
  <c r="H15" i="20"/>
  <c r="I15" i="20"/>
  <c r="H14" i="20"/>
  <c r="I14" i="20"/>
  <c r="H13" i="20"/>
  <c r="I13" i="20"/>
  <c r="H12" i="20"/>
  <c r="I12" i="20"/>
  <c r="H11" i="20"/>
  <c r="I11" i="20"/>
  <c r="H10" i="20"/>
  <c r="I10" i="20"/>
  <c r="H9" i="20"/>
  <c r="I9" i="20"/>
  <c r="H6" i="20"/>
  <c r="I6" i="20"/>
  <c r="H5" i="20"/>
  <c r="I5" i="20"/>
  <c r="H105" i="20"/>
  <c r="I105" i="20"/>
  <c r="H104" i="20"/>
  <c r="I104" i="20"/>
  <c r="H4" i="20"/>
  <c r="I4" i="20"/>
  <c r="C3" i="14"/>
  <c r="K1" i="17"/>
  <c r="Y9" i="17"/>
  <c r="U13" i="17"/>
  <c r="S13" i="17"/>
  <c r="Q13" i="17"/>
  <c r="R13" i="17"/>
  <c r="P13" i="17"/>
  <c r="K4" i="14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5" i="11"/>
  <c r="F1" i="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6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tc={C2299B7A-0B75-4E9F-B604-B810A0816E97}</author>
    <author>tc={A336E162-17BD-4094-902C-A7AB2EF335D9}</author>
  </authors>
  <commentList>
    <comment ref="O55" authorId="0" shapeId="0" xr:uid="{C2299B7A-0B75-4E9F-B604-B810A0816E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Rejoined on 1st day of AAA 
</t>
      </text>
    </comment>
    <comment ref="AB55" authorId="1" shapeId="0" xr:uid="{A336E162-17BD-4094-902C-A7AB2EF335D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2400 FROM JUN 24, 1600 FOR SEP25 REJOIN CASE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tc={1FD4B7E8-3C62-4526-BF9D-696EB03A5229}</author>
  </authors>
  <commentList>
    <comment ref="G22" authorId="0" shapeId="0" xr:uid="{1FD4B7E8-3C62-4526-BF9D-696EB03A52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Rejoined on 1st day of AAA 
</t>
      </text>
    </comment>
  </commentList>
</comments>
</file>

<file path=xl/sharedStrings.xml><?xml version="1.0" encoding="utf-8"?>
<sst xmlns="http://schemas.openxmlformats.org/spreadsheetml/2006/main" count="3926" uniqueCount="689">
  <si>
    <t>Revised Fee/Pending Fee</t>
  </si>
  <si>
    <t>28-DEC-EXAM ?</t>
  </si>
  <si>
    <t>#</t>
  </si>
  <si>
    <t>Student No</t>
  </si>
  <si>
    <t>Student Name</t>
  </si>
  <si>
    <t>Level #</t>
  </si>
  <si>
    <t>Student</t>
  </si>
  <si>
    <t>Level Progress</t>
  </si>
  <si>
    <t>Level Name</t>
  </si>
  <si>
    <t>Kit and Books Fee -Expected</t>
  </si>
  <si>
    <t>Kit and Books Fee -Received</t>
  </si>
  <si>
    <t>Kit and Books Fee -Received On</t>
  </si>
  <si>
    <t>Kits/Books Issued to Student On</t>
  </si>
  <si>
    <t>Level Joined On</t>
  </si>
  <si>
    <t>Batch</t>
  </si>
  <si>
    <t>Level Completed on</t>
  </si>
  <si>
    <t>MONTHS TAken to complete levvel</t>
  </si>
  <si>
    <t>NO OF SESSIONS TAKEN</t>
  </si>
  <si>
    <t>Exam Planned Date</t>
  </si>
  <si>
    <t>Exam Actual Date</t>
  </si>
  <si>
    <t>Score</t>
  </si>
  <si>
    <t>Nominated for Trophy</t>
  </si>
  <si>
    <t>Trophy Season /Lot</t>
  </si>
  <si>
    <t>Trophy Distributed</t>
  </si>
  <si>
    <t>Fee Model</t>
  </si>
  <si>
    <t>Expected Fee</t>
  </si>
  <si>
    <t>Received Fee</t>
  </si>
  <si>
    <t>Received Total Fee</t>
  </si>
  <si>
    <t>Fee Received On</t>
  </si>
  <si>
    <t># Months if Monthly</t>
  </si>
  <si>
    <t>Remark</t>
  </si>
  <si>
    <t>GAPY/CASH?</t>
  </si>
  <si>
    <t>A001</t>
  </si>
  <si>
    <t>Aaditya Patil</t>
  </si>
  <si>
    <t>A01</t>
  </si>
  <si>
    <t>Completed</t>
  </si>
  <si>
    <t>Jr.KG</t>
  </si>
  <si>
    <t>O-M-F-3-4</t>
  </si>
  <si>
    <t>1st Free</t>
  </si>
  <si>
    <t>NA</t>
  </si>
  <si>
    <t>A03</t>
  </si>
  <si>
    <t>Runner-1</t>
  </si>
  <si>
    <t>Always Free</t>
  </si>
  <si>
    <t>A002</t>
  </si>
  <si>
    <t>Tanush Thosare</t>
  </si>
  <si>
    <t>1st Special Fee</t>
  </si>
  <si>
    <t>Yes</t>
  </si>
  <si>
    <t>Level Wise</t>
  </si>
  <si>
    <t>A003</t>
  </si>
  <si>
    <t>Prathmesh Zope</t>
  </si>
  <si>
    <t>A08</t>
  </si>
  <si>
    <t>Sprinter Level-1</t>
  </si>
  <si>
    <t>M-F-7-8</t>
  </si>
  <si>
    <t>A09</t>
  </si>
  <si>
    <t>Sprinter Level-2</t>
  </si>
  <si>
    <t>A10</t>
  </si>
  <si>
    <t>Sprinter Level-3</t>
  </si>
  <si>
    <t>A11</t>
  </si>
  <si>
    <t>Sprinter Level-4</t>
  </si>
  <si>
    <t>A12</t>
  </si>
  <si>
    <t>Advance Level-1</t>
  </si>
  <si>
    <t>yes</t>
  </si>
  <si>
    <t>Level Extension</t>
  </si>
  <si>
    <t>YES</t>
  </si>
  <si>
    <t>A13</t>
  </si>
  <si>
    <t>WIP</t>
  </si>
  <si>
    <t>Advance Level-2</t>
  </si>
  <si>
    <t>M-W-7-8</t>
  </si>
  <si>
    <t xml:space="preserve">Yes </t>
  </si>
  <si>
    <t>Gpay</t>
  </si>
  <si>
    <t>A004</t>
  </si>
  <si>
    <t>Asmi Kshirsagar</t>
  </si>
  <si>
    <t>only exam pending</t>
  </si>
  <si>
    <t>A005</t>
  </si>
  <si>
    <t>Yatharth Kaushik</t>
  </si>
  <si>
    <t>V01</t>
  </si>
  <si>
    <t>Vedic Level-1</t>
  </si>
  <si>
    <t>T-T-6-7</t>
  </si>
  <si>
    <t>V02</t>
  </si>
  <si>
    <t>Vedic Level-2</t>
  </si>
  <si>
    <t>A006</t>
  </si>
  <si>
    <t>Kushal Patil</t>
  </si>
  <si>
    <t>O-T-T-5-6</t>
  </si>
  <si>
    <t>A04</t>
  </si>
  <si>
    <t>Runner-2</t>
  </si>
  <si>
    <t>A05</t>
  </si>
  <si>
    <t>Runner-3</t>
  </si>
  <si>
    <t>Exam Pending</t>
  </si>
  <si>
    <t>A007</t>
  </si>
  <si>
    <t>Selene Kaur</t>
  </si>
  <si>
    <t>M-F-5-6</t>
  </si>
  <si>
    <t>A008</t>
  </si>
  <si>
    <t>Dighvi Nikumbh</t>
  </si>
  <si>
    <t>A02</t>
  </si>
  <si>
    <t xml:space="preserve">Sr.KG </t>
  </si>
  <si>
    <t>A009</t>
  </si>
  <si>
    <t>Saiansh Kumar</t>
  </si>
  <si>
    <t>13-Oct023</t>
  </si>
  <si>
    <t>A010</t>
  </si>
  <si>
    <t>Atharva Titave</t>
  </si>
  <si>
    <t>SAT-4-6</t>
  </si>
  <si>
    <t>Level Fee &amp; Extension</t>
  </si>
  <si>
    <t>A06</t>
  </si>
  <si>
    <t>Runner-4</t>
  </si>
  <si>
    <t>A011</t>
  </si>
  <si>
    <t>Shresth Deb</t>
  </si>
  <si>
    <t>Monthly</t>
  </si>
  <si>
    <t>NO</t>
  </si>
  <si>
    <t>A07</t>
  </si>
  <si>
    <t>Runner 5</t>
  </si>
  <si>
    <t>No</t>
  </si>
  <si>
    <t>gpay</t>
  </si>
  <si>
    <t>A012</t>
  </si>
  <si>
    <t>Swara Patil</t>
  </si>
  <si>
    <t>WIP_InActive</t>
  </si>
  <si>
    <t>A013</t>
  </si>
  <si>
    <t>Shlesh Nemade</t>
  </si>
  <si>
    <t>Daily-10PM</t>
  </si>
  <si>
    <t>A014</t>
  </si>
  <si>
    <t>Riyansh Dalvi</t>
  </si>
  <si>
    <t>Exam is pending</t>
  </si>
  <si>
    <t>A015</t>
  </si>
  <si>
    <t>Ishan Prasad</t>
  </si>
  <si>
    <t>MAY 24 FEE RECEIVED</t>
  </si>
  <si>
    <t>A016</t>
  </si>
  <si>
    <t>Nihir Galani</t>
  </si>
  <si>
    <t>A017</t>
  </si>
  <si>
    <t>Aarohi Fegde</t>
  </si>
  <si>
    <t>A018</t>
  </si>
  <si>
    <t>Kaivalya Patil</t>
  </si>
  <si>
    <t>A019</t>
  </si>
  <si>
    <t>Ira Deshmukh</t>
  </si>
  <si>
    <t xml:space="preserve">excluding one month </t>
  </si>
  <si>
    <t>A020</t>
  </si>
  <si>
    <t>Riyanshi Varma</t>
  </si>
  <si>
    <t>A021</t>
  </si>
  <si>
    <t>Abhay Patil</t>
  </si>
  <si>
    <t>On Track Advance Payment Policy</t>
  </si>
  <si>
    <t>MT-6-7</t>
  </si>
  <si>
    <t>30-MAY-24, 29-Sep-25</t>
  </si>
  <si>
    <t xml:space="preserve">Gpay </t>
  </si>
  <si>
    <t>A022</t>
  </si>
  <si>
    <t>Prisha Chormule</t>
  </si>
  <si>
    <t>A023</t>
  </si>
  <si>
    <t>Dhruv Bawankar</t>
  </si>
  <si>
    <t>M-W-4-5</t>
  </si>
  <si>
    <t>A024</t>
  </si>
  <si>
    <t>Shreshth Gupta</t>
  </si>
  <si>
    <t>O-Daily-2-3</t>
  </si>
  <si>
    <t>Per Session</t>
  </si>
  <si>
    <t xml:space="preserve">Completed </t>
  </si>
  <si>
    <t>Sun 4-6</t>
  </si>
  <si>
    <t xml:space="preserve">Monthly </t>
  </si>
  <si>
    <t>Sun-4-6</t>
  </si>
  <si>
    <t>Paid full fee level wise on day 1 of level</t>
  </si>
  <si>
    <t>GPAY</t>
  </si>
  <si>
    <t>A025</t>
  </si>
  <si>
    <t>Chaitnya Bhave</t>
  </si>
  <si>
    <t>N</t>
  </si>
  <si>
    <t>Pending -15Aug to Sep25+15-Sep to 15Oct25-1200+600+800-total 1400</t>
  </si>
  <si>
    <t>A026</t>
  </si>
  <si>
    <t>Aayushman Kale</t>
  </si>
  <si>
    <t>Daily-4-5</t>
  </si>
  <si>
    <t>Runner 4</t>
  </si>
  <si>
    <t>Level Fee &amp; Extension-5200</t>
  </si>
  <si>
    <t>Runner-5</t>
  </si>
  <si>
    <t>A027</t>
  </si>
  <si>
    <t>Riyansh Pawar</t>
  </si>
  <si>
    <t>O-T-T-4-5</t>
  </si>
  <si>
    <t>GPay</t>
  </si>
  <si>
    <t>Advance level -1</t>
  </si>
  <si>
    <t>Advance level -2</t>
  </si>
  <si>
    <t>A028</t>
  </si>
  <si>
    <t>Jyotiraditya Jagtap</t>
  </si>
  <si>
    <t>Runner -4</t>
  </si>
  <si>
    <t xml:space="preserve">150/Session </t>
  </si>
  <si>
    <t>Cash</t>
  </si>
  <si>
    <t>level fee &amp; extension- 5200</t>
  </si>
  <si>
    <t>A029</t>
  </si>
  <si>
    <t>Vikramaditya Jagtap</t>
  </si>
  <si>
    <t>A030</t>
  </si>
  <si>
    <t>Swastika Yadhav</t>
  </si>
  <si>
    <t>Runner -5</t>
  </si>
  <si>
    <t>A031</t>
  </si>
  <si>
    <t>Aara Y</t>
  </si>
  <si>
    <t>A032</t>
  </si>
  <si>
    <t>Nurvi Parad</t>
  </si>
  <si>
    <t>5/17/2024,7TH JUL 25</t>
  </si>
  <si>
    <t>A033</t>
  </si>
  <si>
    <t>Shubhra Rokade</t>
  </si>
  <si>
    <t>Session wise</t>
  </si>
  <si>
    <t>28-Sessions</t>
  </si>
  <si>
    <t>A034</t>
  </si>
  <si>
    <t>Shreya Asarma</t>
  </si>
  <si>
    <t xml:space="preserve">levelwise </t>
  </si>
  <si>
    <t>Level Extension- 1600</t>
  </si>
  <si>
    <t>A035</t>
  </si>
  <si>
    <t>Swara Kondhare</t>
  </si>
  <si>
    <t>A036</t>
  </si>
  <si>
    <t>Yashwi Patil</t>
  </si>
  <si>
    <t>A037</t>
  </si>
  <si>
    <t>Spruha Patil</t>
  </si>
  <si>
    <t>level pending 1800 and level extension 1600- speak to parent first</t>
  </si>
  <si>
    <t>Runner 2</t>
  </si>
  <si>
    <t>A038</t>
  </si>
  <si>
    <t xml:space="preserve">Aaradhya </t>
  </si>
  <si>
    <t>M-W-TH-4-5</t>
  </si>
  <si>
    <t>level fee and level extension- 3600+1600</t>
  </si>
  <si>
    <t>A039</t>
  </si>
  <si>
    <t>Prisha Shah</t>
  </si>
  <si>
    <t>WIP_Inactive</t>
  </si>
  <si>
    <t>W-F-6-7</t>
  </si>
  <si>
    <t>A040</t>
  </si>
  <si>
    <t>Arnav Sachin Patil</t>
  </si>
  <si>
    <t>A041</t>
  </si>
  <si>
    <t>Avyaan Chaumal</t>
  </si>
  <si>
    <t>Sr.KG</t>
  </si>
  <si>
    <t>Runner 1</t>
  </si>
  <si>
    <t>A042</t>
  </si>
  <si>
    <t>Ishanvi Bhatt</t>
  </si>
  <si>
    <t>A043</t>
  </si>
  <si>
    <t>Divisha Vyawahare</t>
  </si>
  <si>
    <t>A044</t>
  </si>
  <si>
    <t>Paridhi Agarwal</t>
  </si>
  <si>
    <t>Sep 25 and Oct25- 1200+1600- 2800</t>
  </si>
  <si>
    <t>A045</t>
  </si>
  <si>
    <t>Navya Thakkar</t>
  </si>
  <si>
    <t>WIP_INACTIVE</t>
  </si>
  <si>
    <t>A046</t>
  </si>
  <si>
    <t>Shridnyesh Aher</t>
  </si>
  <si>
    <t>Sep 25 and Oct25- 1200+1600- and books 400 for runner 2 total 3200</t>
  </si>
  <si>
    <t xml:space="preserve">phone pay </t>
  </si>
  <si>
    <t>A047</t>
  </si>
  <si>
    <t>Arnish Jhamtani</t>
  </si>
  <si>
    <t>level extension -1600 oct25</t>
  </si>
  <si>
    <t>Runner 3</t>
  </si>
  <si>
    <t>Levelwise</t>
  </si>
  <si>
    <t>A048</t>
  </si>
  <si>
    <t>Vedant Kumar</t>
  </si>
  <si>
    <t>Sprinter-1</t>
  </si>
  <si>
    <t>Sep 25- 1200, books 400, OCT25- 1600- TOTAL3200</t>
  </si>
  <si>
    <t>Sprinter-2</t>
  </si>
  <si>
    <t>A049</t>
  </si>
  <si>
    <t>Archit Shette</t>
  </si>
  <si>
    <t>Y</t>
  </si>
  <si>
    <t>A050</t>
  </si>
  <si>
    <t>Arnav Pol</t>
  </si>
  <si>
    <t>Runner -2</t>
  </si>
  <si>
    <t>Sun 4 -6</t>
  </si>
  <si>
    <t>A051</t>
  </si>
  <si>
    <t>Mahir Gandhi</t>
  </si>
  <si>
    <t>book-400+Aug-Sep-2400+Oct1600- total- 4400- discuss missed classes at least pay 400+1200+1600-3200</t>
  </si>
  <si>
    <t>Runner -3</t>
  </si>
  <si>
    <t>S-S-4-6</t>
  </si>
  <si>
    <t>A052</t>
  </si>
  <si>
    <t>Vivaan Garg</t>
  </si>
  <si>
    <t>Neha to update- pending all</t>
  </si>
  <si>
    <t>Online T-T4 -5</t>
  </si>
  <si>
    <t>A053</t>
  </si>
  <si>
    <t>Jaanvi Nitin Khandagale</t>
  </si>
  <si>
    <t>A054</t>
  </si>
  <si>
    <t>Rumi Pandita</t>
  </si>
  <si>
    <t>A055</t>
  </si>
  <si>
    <t>Yugansh Pawar</t>
  </si>
  <si>
    <t>Sr.KG.</t>
  </si>
  <si>
    <t>level fee and level extension- 3600+1600- total 5200</t>
  </si>
  <si>
    <t>M-W-6-7</t>
  </si>
  <si>
    <t xml:space="preserve">gpay </t>
  </si>
  <si>
    <t>A056</t>
  </si>
  <si>
    <t>Hridhaan Bagla</t>
  </si>
  <si>
    <t>Sr.kg</t>
  </si>
  <si>
    <t xml:space="preserve"> Oct 1600 </t>
  </si>
  <si>
    <t>A057</t>
  </si>
  <si>
    <t>Tanvi Naik</t>
  </si>
  <si>
    <t>A058</t>
  </si>
  <si>
    <t>Advik  Khadelwal</t>
  </si>
  <si>
    <t xml:space="preserve"> oct-1600</t>
  </si>
  <si>
    <t>A059</t>
  </si>
  <si>
    <t>Prisha Deshmukh</t>
  </si>
  <si>
    <t>Phone Pay</t>
  </si>
  <si>
    <t>A060</t>
  </si>
  <si>
    <t>Riaan Deshmukh</t>
  </si>
  <si>
    <t>A061</t>
  </si>
  <si>
    <t>Kaira Sharma</t>
  </si>
  <si>
    <t xml:space="preserve">Paytm </t>
  </si>
  <si>
    <t>A062</t>
  </si>
  <si>
    <t>Kabeer  Kherajani</t>
  </si>
  <si>
    <t>Kabeer Kherajani</t>
  </si>
  <si>
    <t>A063</t>
  </si>
  <si>
    <t>Nivaan Keswani</t>
  </si>
  <si>
    <t>A064</t>
  </si>
  <si>
    <t>Samyak Bora</t>
  </si>
  <si>
    <t xml:space="preserve">Daily </t>
  </si>
  <si>
    <t>Level wise</t>
  </si>
  <si>
    <t>Daily</t>
  </si>
  <si>
    <t>26--Mar-25</t>
  </si>
  <si>
    <t>A065</t>
  </si>
  <si>
    <t>Satvika Yadav</t>
  </si>
  <si>
    <t>A066</t>
  </si>
  <si>
    <t>Hitansh Agarwal</t>
  </si>
  <si>
    <t>Sr.Kg</t>
  </si>
  <si>
    <t>A067</t>
  </si>
  <si>
    <t>Hitanshi Agarwal</t>
  </si>
  <si>
    <t>NEHA TO UPDATE</t>
  </si>
  <si>
    <t>A068</t>
  </si>
  <si>
    <t>Manan Garg</t>
  </si>
  <si>
    <t>A069</t>
  </si>
  <si>
    <t>Viraj Sethi</t>
  </si>
  <si>
    <t xml:space="preserve">neha to check </t>
  </si>
  <si>
    <t>A070</t>
  </si>
  <si>
    <t>Shaurya Sachin Atkare</t>
  </si>
  <si>
    <t>Phone pay</t>
  </si>
  <si>
    <t>A071</t>
  </si>
  <si>
    <t>Manan Mulchandani</t>
  </si>
  <si>
    <t>Jr.kg.</t>
  </si>
  <si>
    <t>T-T- S-4 to 6</t>
  </si>
  <si>
    <t>T-T-S-4 to 6</t>
  </si>
  <si>
    <t>A072</t>
  </si>
  <si>
    <t>Hazel Lalvani</t>
  </si>
  <si>
    <t>A073</t>
  </si>
  <si>
    <t>Vivaan Dabe</t>
  </si>
  <si>
    <t>A074</t>
  </si>
  <si>
    <t>Vedika Shinde</t>
  </si>
  <si>
    <t>LEVEL FEE 3600 PENDING</t>
  </si>
  <si>
    <t>A075</t>
  </si>
  <si>
    <t>Yuvan Lalchandani</t>
  </si>
  <si>
    <t>A076</t>
  </si>
  <si>
    <t xml:space="preserve">Bhavya </t>
  </si>
  <si>
    <t xml:space="preserve">level extension 1600 </t>
  </si>
  <si>
    <t>A077</t>
  </si>
  <si>
    <t>Mayank Agarwal</t>
  </si>
  <si>
    <t>A078</t>
  </si>
  <si>
    <t>Tanish Mulay</t>
  </si>
  <si>
    <t>A079</t>
  </si>
  <si>
    <t>Tanush Mulay</t>
  </si>
  <si>
    <t xml:space="preserve">Runner-2 </t>
  </si>
  <si>
    <t>T-T-7-8</t>
  </si>
  <si>
    <t>pending half of level</t>
  </si>
  <si>
    <t>A080</t>
  </si>
  <si>
    <t>Aarav Gadsingh</t>
  </si>
  <si>
    <t>A081</t>
  </si>
  <si>
    <t>Hiya Agarwal</t>
  </si>
  <si>
    <t>S-S-4-5</t>
  </si>
  <si>
    <t>A082</t>
  </si>
  <si>
    <t>Soumya Takle</t>
  </si>
  <si>
    <t>A083</t>
  </si>
  <si>
    <t>Urja Jadhav</t>
  </si>
  <si>
    <t>A084</t>
  </si>
  <si>
    <t>Swara Pakhare</t>
  </si>
  <si>
    <t xml:space="preserve">level wise </t>
  </si>
  <si>
    <t>A085</t>
  </si>
  <si>
    <t>Siddhi Pakhare</t>
  </si>
  <si>
    <t>A086</t>
  </si>
  <si>
    <t>Shreeraj Jadhav</t>
  </si>
  <si>
    <t xml:space="preserve">monthly </t>
  </si>
  <si>
    <t>A087</t>
  </si>
  <si>
    <t>Spriha Kamath</t>
  </si>
  <si>
    <t>A088</t>
  </si>
  <si>
    <t>paid  for Nov and skip in oct</t>
  </si>
  <si>
    <t>Aarav Sandeep Dhanajkar</t>
  </si>
  <si>
    <t>4/26/2025,25-jun-25</t>
  </si>
  <si>
    <t>Phonepay</t>
  </si>
  <si>
    <t xml:space="preserve">No </t>
  </si>
  <si>
    <t>A089</t>
  </si>
  <si>
    <t>Heer  Sharma</t>
  </si>
  <si>
    <t xml:space="preserve">Level Wise </t>
  </si>
  <si>
    <t>CASH</t>
  </si>
  <si>
    <t>T-T-4-5</t>
  </si>
  <si>
    <t>A090</t>
  </si>
  <si>
    <t>Ishani Satpute</t>
  </si>
  <si>
    <t>For Oct 25 month</t>
  </si>
  <si>
    <t>A091</t>
  </si>
  <si>
    <t>Manasvi Yogesh Bagul</t>
  </si>
  <si>
    <t>A092</t>
  </si>
  <si>
    <t>Pranavi Reddy</t>
  </si>
  <si>
    <t>A093</t>
  </si>
  <si>
    <t xml:space="preserve">Hrisha Reddy </t>
  </si>
  <si>
    <t>A094</t>
  </si>
  <si>
    <t>Vrushank Upadhye</t>
  </si>
  <si>
    <t>-</t>
  </si>
  <si>
    <t>A095</t>
  </si>
  <si>
    <t>Lekeisha Pooja Agarwal</t>
  </si>
  <si>
    <t>A096</t>
  </si>
  <si>
    <t>Akshat Jain</t>
  </si>
  <si>
    <t>A097</t>
  </si>
  <si>
    <t>Kiyansh (dance Teacher)</t>
  </si>
  <si>
    <t>Gpay,Cash</t>
  </si>
  <si>
    <t>Sr.Kg.</t>
  </si>
  <si>
    <t>W-S-6-7</t>
  </si>
  <si>
    <t>A098</t>
  </si>
  <si>
    <t>Agastya Dhanvijay Patil</t>
  </si>
  <si>
    <t>A099</t>
  </si>
  <si>
    <t>Ashwath Dhanvijay Patil</t>
  </si>
  <si>
    <t>A100</t>
  </si>
  <si>
    <t>Anaisha Jain</t>
  </si>
  <si>
    <t>A101</t>
  </si>
  <si>
    <t>Vihaan Shukla</t>
  </si>
  <si>
    <t>Sprinter 1</t>
  </si>
  <si>
    <t>A102</t>
  </si>
  <si>
    <t>Paanvi Shukla</t>
  </si>
  <si>
    <t>M-w-4-5</t>
  </si>
  <si>
    <t>A103</t>
  </si>
  <si>
    <t>Shinjini Yadav</t>
  </si>
  <si>
    <t>A104</t>
  </si>
  <si>
    <t>Maiesha Anand</t>
  </si>
  <si>
    <t>July -Aug-2400+oct 1600</t>
  </si>
  <si>
    <t>A105</t>
  </si>
  <si>
    <t>Gracia Sewani</t>
  </si>
  <si>
    <t>A107</t>
  </si>
  <si>
    <t>Chaitnya Gite</t>
  </si>
  <si>
    <t>A108</t>
  </si>
  <si>
    <t>Raashi Rajnale</t>
  </si>
  <si>
    <t>A109</t>
  </si>
  <si>
    <t>Nitya Sharma</t>
  </si>
  <si>
    <t>SR.KG</t>
  </si>
  <si>
    <t xml:space="preserve">2 and half </t>
  </si>
  <si>
    <t>A110</t>
  </si>
  <si>
    <t>Krushna Karad</t>
  </si>
  <si>
    <t>A111</t>
  </si>
  <si>
    <t>Atharva Pol</t>
  </si>
  <si>
    <t>Aug -SEP-1200+1200</t>
  </si>
  <si>
    <t>A112</t>
  </si>
  <si>
    <t>Dhyana Desai</t>
  </si>
  <si>
    <t>A113</t>
  </si>
  <si>
    <t>Dhyan Desai</t>
  </si>
  <si>
    <t>A114</t>
  </si>
  <si>
    <t xml:space="preserve">Aarya Pawar Chaudhary </t>
  </si>
  <si>
    <t>Jr.Kg</t>
  </si>
  <si>
    <t>LevelWise</t>
  </si>
  <si>
    <t>A115</t>
  </si>
  <si>
    <t>Eva Ghadge</t>
  </si>
  <si>
    <t>T-T6-7</t>
  </si>
  <si>
    <t>A116</t>
  </si>
  <si>
    <t>Shlok Mahajan</t>
  </si>
  <si>
    <t>A117</t>
  </si>
  <si>
    <t xml:space="preserve">Aarav Jagdish Patil </t>
  </si>
  <si>
    <t>M-Tu-6 - 7Pm</t>
  </si>
  <si>
    <t>AAA</t>
  </si>
  <si>
    <t>A118</t>
  </si>
  <si>
    <t>Kriyansh Chhabria</t>
  </si>
  <si>
    <t>Daily-Level</t>
  </si>
  <si>
    <t>level Wise</t>
  </si>
  <si>
    <t>A119</t>
  </si>
  <si>
    <t>Maneet Manoj Muttepawar</t>
  </si>
  <si>
    <t>A120</t>
  </si>
  <si>
    <t>DHRUVA SINGHAL</t>
  </si>
  <si>
    <t>A121</t>
  </si>
  <si>
    <t>Akshada Arya</t>
  </si>
  <si>
    <t>Current Level</t>
  </si>
  <si>
    <t>Pranvi Reddy</t>
  </si>
  <si>
    <t>0-bOSS</t>
  </si>
  <si>
    <t>Arnav Patil</t>
  </si>
  <si>
    <t>Here’s your data organized in a clean spreadsheet-style format with columns for easy tracking:</t>
  </si>
  <si>
    <t>🗂️ Student Fee Tracker</t>
  </si>
  <si>
    <t>Level Type</t>
  </si>
  <si>
    <t>Start Date</t>
  </si>
  <si>
    <t>Fee Paid / Received</t>
  </si>
  <si>
    <t>Pending Items / Notes</t>
  </si>
  <si>
    <t>Total Amount (₹)</t>
  </si>
  <si>
    <t>Prathmesh</t>
  </si>
  <si>
    <t>Advance</t>
  </si>
  <si>
    <t>—</t>
  </si>
  <si>
    <t>Level Extension Oct'25</t>
  </si>
  <si>
    <t>Advance Level 2</t>
  </si>
  <si>
    <t>₹3600 + ₹1600</t>
  </si>
  <si>
    <t>Till Sep</t>
  </si>
  <si>
    <t>Oct advance awaited</t>
  </si>
  <si>
    <t>Awaiting confirmation; trophy request denied</t>
  </si>
  <si>
    <t>Aug–Sep ₹1200 + Sep–Oct ₹1400</t>
  </si>
  <si>
    <t>₹1800 balance + Oct'25 extension; check progress</t>
  </si>
  <si>
    <t>Aaradhya</t>
  </si>
  <si>
    <t>Sprinter 3</t>
  </si>
  <si>
    <t>Mar'25 pending</t>
  </si>
  <si>
    <t>Sep ₹1200 + Oct ₹1600</t>
  </si>
  <si>
    <t>Jul'25 pending</t>
  </si>
  <si>
    <t>Sep ₹1200 + Oct ₹1600 + books ₹400</t>
  </si>
  <si>
    <t>Arnish Jamtani</t>
  </si>
  <si>
    <t>Level Extension Oct'25 awaited</t>
  </si>
  <si>
    <t>Sprinter 2</t>
  </si>
  <si>
    <t>3 months paid till July</t>
  </si>
  <si>
    <t>Neha to update</t>
  </si>
  <si>
    <t>₹3600 + ₹1600 pending</t>
  </si>
  <si>
    <t>Till 21-Jul</t>
  </si>
  <si>
    <t>Aug–Sep ₹2400 + Oct ₹1600</t>
  </si>
  <si>
    <t>Advik Kahdelval</t>
  </si>
  <si>
    <t>Aug ₹1200 + Oct ₹1600 pending; check with Neha</t>
  </si>
  <si>
    <t>Till Apr</t>
  </si>
  <si>
    <t>May–Oct pending; Neha to confirm</t>
  </si>
  <si>
    <t>Kabir Kherajani</t>
  </si>
  <si>
    <t>Jul–Sep ₹3600 + Oct ₹1600</t>
  </si>
  <si>
    <t>Samyak</t>
  </si>
  <si>
    <t>₹3600 + books ₹400</t>
  </si>
  <si>
    <t>Hitanshi</t>
  </si>
  <si>
    <t>Books + monthly fee pending; Neha to update</t>
  </si>
  <si>
    <t>Shourya</t>
  </si>
  <si>
    <t>Sr KG</t>
  </si>
  <si>
    <t>₹2000 balance + Oct'25 extension</t>
  </si>
  <si>
    <t>Aug–Sep ₹1200 + Oct ₹1600</t>
  </si>
  <si>
    <t>Vedika</t>
  </si>
  <si>
    <t>Level fee pending</t>
  </si>
  <si>
    <t>Runner 2 &amp; 3</t>
  </si>
  <si>
    <t>₹3600 + ₹3600 + books ₹400</t>
  </si>
  <si>
    <t>Bhavya</t>
  </si>
  <si>
    <t>Half level fee pending</t>
  </si>
  <si>
    <t>Let me know if you'd like this exported into a table you can copy into Excel or Google Sheets!</t>
  </si>
  <si>
    <t>##</t>
  </si>
  <si>
    <t>Grand Total</t>
  </si>
  <si>
    <t>A14</t>
  </si>
  <si>
    <t>Grand-1</t>
  </si>
  <si>
    <t>A15</t>
  </si>
  <si>
    <t>Grand-2</t>
  </si>
  <si>
    <t>V03</t>
  </si>
  <si>
    <t>Vedic Level-3</t>
  </si>
  <si>
    <t>Sr.No</t>
  </si>
  <si>
    <t>Academy Joined ON</t>
  </si>
  <si>
    <t>Fees Paid TILL Date</t>
  </si>
  <si>
    <t>Admission Form Filled?</t>
  </si>
  <si>
    <t># Level Completed</t>
  </si>
  <si>
    <t>Current Status</t>
  </si>
  <si>
    <t>Inactive</t>
  </si>
  <si>
    <t>Active</t>
  </si>
  <si>
    <t>Count of Level Progress</t>
  </si>
  <si>
    <t>Column Labels</t>
  </si>
  <si>
    <t>Status</t>
  </si>
  <si>
    <t>Count of Student Name</t>
  </si>
  <si>
    <t>Sum of Received Fee</t>
  </si>
  <si>
    <t>Level Start Date</t>
  </si>
  <si>
    <t>Months by formula</t>
  </si>
  <si>
    <t>Actual Months running</t>
  </si>
  <si>
    <t>Focus Priority</t>
  </si>
  <si>
    <t>Expected Payment for Month</t>
  </si>
  <si>
    <t>Shresth Deb Total</t>
  </si>
  <si>
    <t>Shreshth Gupta Total</t>
  </si>
  <si>
    <t>Riyansh Pawar Total</t>
  </si>
  <si>
    <t>Prathmesh Zope Total</t>
  </si>
  <si>
    <t>Chaitnya Bhave Total</t>
  </si>
  <si>
    <t>Shubhra Rokade Total</t>
  </si>
  <si>
    <t>Aarohi Fegde Total</t>
  </si>
  <si>
    <t>Vedant Kumar Total</t>
  </si>
  <si>
    <t>Jyotiraditya Jagtap Total</t>
  </si>
  <si>
    <t>Swastika Yadhav Total</t>
  </si>
  <si>
    <t>Atharva Titave Total</t>
  </si>
  <si>
    <t>Arnish Jhamtani Total</t>
  </si>
  <si>
    <t>Aayushman Kale Total</t>
  </si>
  <si>
    <t>Divisha Vyawahare Total</t>
  </si>
  <si>
    <t>Ishanvi Bhatt Total</t>
  </si>
  <si>
    <t>Vikramaditya Jagtap Total</t>
  </si>
  <si>
    <t>Advik  Khadelwal Total</t>
  </si>
  <si>
    <t>Shridnyesh Aher Total</t>
  </si>
  <si>
    <t>Asmi Kshirsagar Total</t>
  </si>
  <si>
    <t>Samyak Bora Total</t>
  </si>
  <si>
    <t>Kushal Patil Total</t>
  </si>
  <si>
    <t>Shreya Asarma Total</t>
  </si>
  <si>
    <t>Selene Kaur Total</t>
  </si>
  <si>
    <t>Hridhaan Bagla Total</t>
  </si>
  <si>
    <t>Dighvi Nikumbh Total</t>
  </si>
  <si>
    <t>Aaradhya  Total</t>
  </si>
  <si>
    <t>Abhay Patil Total</t>
  </si>
  <si>
    <t>Avyaan Chaumal Total</t>
  </si>
  <si>
    <t>Arnav Pol Total</t>
  </si>
  <si>
    <t>Vivaan Garg Total</t>
  </si>
  <si>
    <t>Navya Thakkar Total</t>
  </si>
  <si>
    <t>Arnav Sachin Patil Total</t>
  </si>
  <si>
    <t>Jaanvi Nitin Khandagale Total</t>
  </si>
  <si>
    <t>Swara Patil Total</t>
  </si>
  <si>
    <t>Mahir Gandhi Total</t>
  </si>
  <si>
    <t>Yatharth Kaushik Total</t>
  </si>
  <si>
    <t>Ishan Prasad Total</t>
  </si>
  <si>
    <t>Saiansh Kumar Total</t>
  </si>
  <si>
    <t>Paridhi Agarwal Total</t>
  </si>
  <si>
    <t>Tanush Thosare Total</t>
  </si>
  <si>
    <t>Ira Deshmukh Total</t>
  </si>
  <si>
    <t>Kabeer  Kherajani Total</t>
  </si>
  <si>
    <t>Rumi Pandita Total</t>
  </si>
  <si>
    <t>Spruha Patil Total</t>
  </si>
  <si>
    <t>Shlesh Nemade Total</t>
  </si>
  <si>
    <t>Dhruv Bawankar Total</t>
  </si>
  <si>
    <t>Riyanshi Varma Total</t>
  </si>
  <si>
    <t>Manan Garg Total</t>
  </si>
  <si>
    <t>Hitansh Agarwal Total</t>
  </si>
  <si>
    <t>Nurvi Parad Total</t>
  </si>
  <si>
    <t>Kaira Sharma Total</t>
  </si>
  <si>
    <t>Hitanshi Agarwal Total</t>
  </si>
  <si>
    <t>Satvika Yadav Total</t>
  </si>
  <si>
    <t>Kaivalya Patil Total</t>
  </si>
  <si>
    <t>Riyansh Dalvi Total</t>
  </si>
  <si>
    <t>Aara Y Total</t>
  </si>
  <si>
    <t>Nihir Galani Total</t>
  </si>
  <si>
    <t>Yashwi Patil Total</t>
  </si>
  <si>
    <t>Yugansh Pawar Total</t>
  </si>
  <si>
    <t>Prisha Chormule Total</t>
  </si>
  <si>
    <t>Prisha Shah Total</t>
  </si>
  <si>
    <t>Riaan Deshmukh Total</t>
  </si>
  <si>
    <t>Prisha Deshmukh Total</t>
  </si>
  <si>
    <t>Archit Shette Total</t>
  </si>
  <si>
    <t>Kabeer Kherajani Total</t>
  </si>
  <si>
    <t>Swara Kondhare Total</t>
  </si>
  <si>
    <t>Tanvi Naik Total</t>
  </si>
  <si>
    <t>Nivaan Keswani Total</t>
  </si>
  <si>
    <t>Aaditya Patil Total</t>
  </si>
  <si>
    <t>Time Slot</t>
  </si>
  <si>
    <t>Day wise calendar block</t>
  </si>
  <si>
    <t>(blank)</t>
  </si>
  <si>
    <t>MON</t>
  </si>
  <si>
    <t>TUE</t>
  </si>
  <si>
    <t>WED</t>
  </si>
  <si>
    <t>THU</t>
  </si>
  <si>
    <t>FRI</t>
  </si>
  <si>
    <t>SAT</t>
  </si>
  <si>
    <t>SUN</t>
  </si>
  <si>
    <t>Total</t>
  </si>
  <si>
    <t>PerMonth</t>
  </si>
  <si>
    <t>4 TO 5</t>
  </si>
  <si>
    <t>5 TO 6</t>
  </si>
  <si>
    <t>6 TO 7</t>
  </si>
  <si>
    <t>7 TO 8</t>
  </si>
  <si>
    <t>Total Hrs</t>
  </si>
  <si>
    <t>Day and Batch wise student count</t>
  </si>
  <si>
    <t>Total#</t>
  </si>
  <si>
    <t>Daily-4-5 Total</t>
  </si>
  <si>
    <t>M-F-7-8 Total</t>
  </si>
  <si>
    <t>Kabir  Kherajani</t>
  </si>
  <si>
    <t>M-W-4-5 Total</t>
  </si>
  <si>
    <t>O-T-T-4-5 Total</t>
  </si>
  <si>
    <t>SAT-4-6 Total</t>
  </si>
  <si>
    <t>T-T-6-7 Total</t>
  </si>
  <si>
    <t>W-F-6-7 Total</t>
  </si>
  <si>
    <t>(blank) Total</t>
  </si>
  <si>
    <t>Sun 4-6 Total</t>
  </si>
  <si>
    <t>Daily  Total</t>
  </si>
  <si>
    <t>Sum of Expected Fee</t>
  </si>
  <si>
    <t>Sum of NO OF SESSIONS TAKEN</t>
  </si>
  <si>
    <t>Sum of MONTHS TAken to complete levvel</t>
  </si>
  <si>
    <t>A01 Total</t>
  </si>
  <si>
    <t>A02 Total</t>
  </si>
  <si>
    <t>A03 Total</t>
  </si>
  <si>
    <t>A04 Total</t>
  </si>
  <si>
    <t>A05 Total</t>
  </si>
  <si>
    <t>A06 Total</t>
  </si>
  <si>
    <t>A07 Total</t>
  </si>
  <si>
    <t>A08 Total</t>
  </si>
  <si>
    <t>A11 Total</t>
  </si>
  <si>
    <t>A13 Total</t>
  </si>
  <si>
    <t>TROPHY Nomination and Distribution</t>
  </si>
  <si>
    <t>Sr.No.</t>
  </si>
  <si>
    <t>Trohpy Season</t>
  </si>
  <si>
    <t>Name</t>
  </si>
  <si>
    <t>Level</t>
  </si>
  <si>
    <t>%</t>
  </si>
  <si>
    <t>Nominated</t>
  </si>
  <si>
    <t>Distributed on</t>
  </si>
  <si>
    <t>2nd</t>
  </si>
  <si>
    <t>Jyotiraditya Nagnath Jagtap</t>
  </si>
  <si>
    <t>Aara Y.</t>
  </si>
  <si>
    <t>Yashwi Atulkumar Patil</t>
  </si>
  <si>
    <t>Spruha Sagar Patil</t>
  </si>
  <si>
    <t>Chaitanya Bhave</t>
  </si>
  <si>
    <t>Digvi Swapnil Nikhumbh</t>
  </si>
  <si>
    <t>Prathmesh Yogesh Zope</t>
  </si>
  <si>
    <t>Advance 1</t>
  </si>
  <si>
    <t>Pending</t>
  </si>
  <si>
    <t>Arnav Nitin Patil</t>
  </si>
  <si>
    <t>Grand Level 1</t>
  </si>
  <si>
    <t>3rd</t>
  </si>
  <si>
    <t>Divisha Vyaware</t>
  </si>
  <si>
    <t>Prathamesh</t>
  </si>
  <si>
    <t>Atharv Titave</t>
  </si>
  <si>
    <t>Ishan</t>
  </si>
  <si>
    <t>Aarohi</t>
  </si>
  <si>
    <t>Aayushman</t>
  </si>
  <si>
    <t>Swastika</t>
  </si>
  <si>
    <t>Vikramaditya</t>
  </si>
  <si>
    <t>Jyotiraditya</t>
  </si>
  <si>
    <t>Riyanash Pawar</t>
  </si>
  <si>
    <t>Shubhra</t>
  </si>
  <si>
    <t>Shreya</t>
  </si>
  <si>
    <t>Spruha</t>
  </si>
  <si>
    <t>Avyaan</t>
  </si>
  <si>
    <t>Ishanvi</t>
  </si>
  <si>
    <t>Divisha</t>
  </si>
  <si>
    <t>Vedant</t>
  </si>
  <si>
    <t>Shridnyesh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</si>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</sst>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m/d;@"/>
    <numFmt numFmtId="166" formatCode="0.0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Calibri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6"/>
      <name val="Yu Gothic"/>
      <family val="2"/>
      <charset val="128"/>
    </font>
    <font>
      <sz val="11"/>
      <color rgb="FF000000"/>
      <name val="Aptos Narrow"/>
      <family val="2"/>
    </font>
    <font>
      <sz val="10"/>
      <color theme="1"/>
      <name val="Arial"/>
      <family val="18"/>
    </font>
    <font>
      <sz val="11"/>
      <color rgb="FF000000"/>
      <name val="Aptos Narrow"/>
      <charset val="1"/>
    </font>
    <font>
      <b/>
      <sz val="13.5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1A983"/>
        <bgColor rgb="FF000000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0" fillId="0" borderId="1" xfId="0" applyBorder="1"/>
    <xf numFmtId="15" fontId="0" fillId="0" borderId="1" xfId="0" applyNumberFormat="1" applyBorder="1"/>
    <xf numFmtId="0" fontId="0" fillId="0" borderId="0" xfId="0" applyAlignment="1">
      <alignment horizontal="center" vertical="center" wrapText="1"/>
    </xf>
    <xf numFmtId="0" fontId="0" fillId="3" borderId="1" xfId="0" applyFill="1" applyBorder="1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pivotButton="1" applyBorder="1"/>
    <xf numFmtId="0" fontId="0" fillId="0" borderId="2" xfId="0" applyBorder="1" applyAlignment="1">
      <alignment horizontal="left"/>
    </xf>
    <xf numFmtId="0" fontId="4" fillId="3" borderId="0" xfId="0" applyFont="1" applyFill="1"/>
    <xf numFmtId="0" fontId="1" fillId="5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5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15" fontId="0" fillId="7" borderId="1" xfId="0" applyNumberFormat="1" applyFill="1" applyBorder="1" applyAlignment="1">
      <alignment horizontal="center" vertical="center"/>
    </xf>
    <xf numFmtId="9" fontId="0" fillId="7" borderId="1" xfId="0" applyNumberFormat="1" applyFill="1" applyBorder="1" applyAlignment="1">
      <alignment horizontal="center" vertical="center"/>
    </xf>
    <xf numFmtId="0" fontId="0" fillId="7" borderId="1" xfId="0" applyFill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5" fontId="0" fillId="6" borderId="1" xfId="0" applyNumberFormat="1" applyFill="1" applyBorder="1" applyAlignment="1">
      <alignment horizontal="center" vertical="center"/>
    </xf>
    <xf numFmtId="15" fontId="0" fillId="6" borderId="1" xfId="0" applyNumberFormat="1" applyFill="1" applyBorder="1"/>
    <xf numFmtId="0" fontId="0" fillId="6" borderId="1" xfId="0" applyFill="1" applyBorder="1"/>
    <xf numFmtId="15" fontId="0" fillId="4" borderId="1" xfId="0" applyNumberFormat="1" applyFill="1" applyBorder="1" applyAlignment="1">
      <alignment horizontal="center" vertical="center"/>
    </xf>
    <xf numFmtId="15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5" fontId="0" fillId="7" borderId="1" xfId="0" applyNumberFormat="1" applyFill="1" applyBorder="1"/>
    <xf numFmtId="1" fontId="0" fillId="0" borderId="1" xfId="0" applyNumberFormat="1" applyBorder="1"/>
    <xf numFmtId="9" fontId="0" fillId="3" borderId="1" xfId="0" applyNumberForma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1" fontId="0" fillId="7" borderId="1" xfId="0" applyNumberFormat="1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1" fontId="0" fillId="6" borderId="1" xfId="0" applyNumberFormat="1" applyFill="1" applyBorder="1"/>
    <xf numFmtId="0" fontId="0" fillId="6" borderId="0" xfId="0" applyFill="1"/>
    <xf numFmtId="9" fontId="0" fillId="6" borderId="1" xfId="0" applyNumberForma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7" borderId="0" xfId="0" applyFill="1"/>
    <xf numFmtId="15" fontId="0" fillId="4" borderId="1" xfId="0" applyNumberFormat="1" applyFill="1" applyBorder="1"/>
    <xf numFmtId="0" fontId="0" fillId="0" borderId="0" xfId="0" pivotButton="1"/>
    <xf numFmtId="164" fontId="0" fillId="0" borderId="0" xfId="0" applyNumberFormat="1"/>
    <xf numFmtId="0" fontId="0" fillId="3" borderId="0" xfId="0" applyFill="1"/>
    <xf numFmtId="165" fontId="0" fillId="0" borderId="0" xfId="0" applyNumberFormat="1"/>
    <xf numFmtId="1" fontId="0" fillId="0" borderId="0" xfId="0" applyNumberFormat="1"/>
    <xf numFmtId="0" fontId="1" fillId="0" borderId="0" xfId="0" applyFont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4" borderId="4" xfId="0" applyFill="1" applyBorder="1" applyAlignment="1">
      <alignment horizontal="center" vertical="center"/>
    </xf>
    <xf numFmtId="15" fontId="0" fillId="0" borderId="4" xfId="0" applyNumberFormat="1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4" borderId="5" xfId="0" applyFill="1" applyBorder="1" applyAlignment="1">
      <alignment horizontal="center" vertical="center"/>
    </xf>
    <xf numFmtId="15" fontId="0" fillId="0" borderId="5" xfId="0" applyNumberFormat="1" applyBorder="1" applyAlignment="1">
      <alignment horizontal="center" vertical="center"/>
    </xf>
    <xf numFmtId="0" fontId="0" fillId="0" borderId="5" xfId="0" applyBorder="1"/>
    <xf numFmtId="15" fontId="0" fillId="0" borderId="4" xfId="0" applyNumberFormat="1" applyBorder="1"/>
    <xf numFmtId="166" fontId="0" fillId="4" borderId="1" xfId="0" applyNumberFormat="1" applyFill="1" applyBorder="1" applyAlignment="1">
      <alignment horizontal="center" vertical="center"/>
    </xf>
    <xf numFmtId="166" fontId="0" fillId="0" borderId="0" xfId="0" applyNumberFormat="1"/>
    <xf numFmtId="15" fontId="0" fillId="0" borderId="5" xfId="0" applyNumberFormat="1" applyBorder="1"/>
    <xf numFmtId="0" fontId="0" fillId="8" borderId="4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left" vertical="center"/>
    </xf>
    <xf numFmtId="0" fontId="0" fillId="8" borderId="4" xfId="0" applyFill="1" applyBorder="1" applyAlignment="1">
      <alignment horizontal="center" vertical="center"/>
    </xf>
    <xf numFmtId="15" fontId="0" fillId="8" borderId="4" xfId="0" applyNumberFormat="1" applyFill="1" applyBorder="1" applyAlignment="1">
      <alignment horizontal="center" vertical="center"/>
    </xf>
    <xf numFmtId="166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5" fontId="0" fillId="8" borderId="4" xfId="0" applyNumberFormat="1" applyFill="1" applyBorder="1"/>
    <xf numFmtId="0" fontId="0" fillId="8" borderId="1" xfId="0" applyFill="1" applyBorder="1"/>
    <xf numFmtId="0" fontId="0" fillId="8" borderId="4" xfId="0" applyFill="1" applyBorder="1"/>
    <xf numFmtId="0" fontId="0" fillId="8" borderId="1" xfId="0" applyFill="1" applyBorder="1" applyAlignment="1">
      <alignment horizontal="left" vertical="center"/>
    </xf>
    <xf numFmtId="15" fontId="0" fillId="8" borderId="1" xfId="0" applyNumberFormat="1" applyFill="1" applyBorder="1" applyAlignment="1">
      <alignment horizontal="center" vertical="center"/>
    </xf>
    <xf numFmtId="15" fontId="0" fillId="8" borderId="1" xfId="0" applyNumberFormat="1" applyFill="1" applyBorder="1"/>
    <xf numFmtId="14" fontId="0" fillId="0" borderId="4" xfId="0" applyNumberFormat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0" fontId="0" fillId="0" borderId="0" xfId="0" applyNumberFormat="1"/>
    <xf numFmtId="0" fontId="6" fillId="9" borderId="1" xfId="0" applyFont="1" applyFill="1" applyBorder="1" applyAlignment="1"/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4" borderId="6" xfId="0" applyFill="1" applyBorder="1" applyAlignment="1">
      <alignment horizontal="center" vertical="center"/>
    </xf>
    <xf numFmtId="15" fontId="0" fillId="0" borderId="6" xfId="0" applyNumberFormat="1" applyBorder="1" applyAlignment="1">
      <alignment horizontal="center" vertical="center"/>
    </xf>
    <xf numFmtId="0" fontId="0" fillId="0" borderId="6" xfId="0" applyBorder="1"/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left" vertical="center"/>
    </xf>
    <xf numFmtId="15" fontId="0" fillId="7" borderId="5" xfId="0" applyNumberFormat="1" applyFill="1" applyBorder="1" applyAlignment="1">
      <alignment horizontal="center" vertical="center"/>
    </xf>
    <xf numFmtId="15" fontId="0" fillId="7" borderId="5" xfId="0" applyNumberFormat="1" applyFill="1" applyBorder="1"/>
    <xf numFmtId="0" fontId="0" fillId="7" borderId="5" xfId="0" applyFill="1" applyBorder="1"/>
    <xf numFmtId="0" fontId="0" fillId="7" borderId="4" xfId="0" applyFill="1" applyBorder="1" applyAlignment="1">
      <alignment horizontal="center" vertical="center"/>
    </xf>
    <xf numFmtId="0" fontId="0" fillId="7" borderId="4" xfId="0" applyFill="1" applyBorder="1" applyAlignment="1">
      <alignment horizontal="left" vertical="center"/>
    </xf>
    <xf numFmtId="15" fontId="0" fillId="7" borderId="4" xfId="0" applyNumberFormat="1" applyFill="1" applyBorder="1" applyAlignment="1">
      <alignment horizontal="center" vertical="center"/>
    </xf>
    <xf numFmtId="15" fontId="0" fillId="7" borderId="4" xfId="0" applyNumberFormat="1" applyFill="1" applyBorder="1"/>
    <xf numFmtId="0" fontId="0" fillId="7" borderId="4" xfId="0" applyFill="1" applyBorder="1"/>
    <xf numFmtId="14" fontId="0" fillId="0" borderId="1" xfId="0" applyNumberFormat="1" applyBorder="1"/>
    <xf numFmtId="9" fontId="0" fillId="0" borderId="6" xfId="0" applyNumberFormat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15" fontId="0" fillId="0" borderId="6" xfId="0" applyNumberFormat="1" applyBorder="1"/>
    <xf numFmtId="15" fontId="0" fillId="0" borderId="7" xfId="0" applyNumberFormat="1" applyBorder="1" applyAlignment="1">
      <alignment horizontal="center" vertical="center"/>
    </xf>
    <xf numFmtId="15" fontId="0" fillId="0" borderId="0" xfId="0" applyNumberFormat="1" applyBorder="1" applyAlignment="1">
      <alignment horizontal="center" vertical="center"/>
    </xf>
    <xf numFmtId="0" fontId="7" fillId="0" borderId="0" xfId="0" applyFont="1" applyBorder="1" applyAlignment="1">
      <alignment wrapText="1"/>
    </xf>
    <xf numFmtId="15" fontId="8" fillId="0" borderId="0" xfId="0" applyNumberFormat="1" applyFont="1" applyBorder="1"/>
    <xf numFmtId="15" fontId="8" fillId="0" borderId="0" xfId="0" applyNumberFormat="1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15" fontId="0" fillId="0" borderId="9" xfId="0" applyNumberForma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16" fontId="0" fillId="4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/>
    <xf numFmtId="0" fontId="8" fillId="0" borderId="0" xfId="0" applyFont="1" applyBorder="1"/>
    <xf numFmtId="9" fontId="0" fillId="0" borderId="0" xfId="0" applyNumberFormat="1" applyBorder="1" applyAlignment="1">
      <alignment horizontal="center" vertical="center"/>
    </xf>
    <xf numFmtId="15" fontId="0" fillId="0" borderId="0" xfId="0" applyNumberFormat="1" applyBorder="1"/>
    <xf numFmtId="0" fontId="0" fillId="0" borderId="11" xfId="0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5" fontId="0" fillId="0" borderId="0" xfId="0" applyNumberFormat="1"/>
    <xf numFmtId="14" fontId="0" fillId="0" borderId="6" xfId="0" applyNumberFormat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left" vertical="center"/>
    </xf>
    <xf numFmtId="15" fontId="0" fillId="6" borderId="4" xfId="0" applyNumberFormat="1" applyFill="1" applyBorder="1" applyAlignment="1">
      <alignment horizontal="center" vertical="center"/>
    </xf>
    <xf numFmtId="14" fontId="0" fillId="6" borderId="4" xfId="0" applyNumberFormat="1" applyFill="1" applyBorder="1" applyAlignment="1">
      <alignment horizontal="center" vertical="center"/>
    </xf>
    <xf numFmtId="9" fontId="0" fillId="6" borderId="4" xfId="0" applyNumberFormat="1" applyFill="1" applyBorder="1" applyAlignment="1">
      <alignment horizontal="center" vertical="center"/>
    </xf>
    <xf numFmtId="15" fontId="0" fillId="6" borderId="4" xfId="0" applyNumberFormat="1" applyFill="1" applyBorder="1"/>
    <xf numFmtId="0" fontId="0" fillId="6" borderId="4" xfId="0" applyFill="1" applyBorder="1"/>
    <xf numFmtId="0" fontId="0" fillId="3" borderId="1" xfId="0" applyFill="1" applyBorder="1" applyAlignment="1">
      <alignment horizontal="left" vertical="center"/>
    </xf>
    <xf numFmtId="0" fontId="9" fillId="0" borderId="0" xfId="0" applyFont="1"/>
    <xf numFmtId="16" fontId="0" fillId="0" borderId="0" xfId="0" applyNumberFormat="1"/>
    <xf numFmtId="0" fontId="2" fillId="10" borderId="0" xfId="0" applyFont="1" applyFill="1" applyAlignment="1">
      <alignment horizontal="center" vertical="center" wrapText="1"/>
    </xf>
    <xf numFmtId="0" fontId="10" fillId="2" borderId="0" xfId="0" applyFont="1" applyFill="1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center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numFmt numFmtId="166" formatCode="0.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eha Patil" id="{3564E7A3-12E2-45A6-8D90-7F46D59875F9}" userId="60c241c68a590f5a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in Patil" refreshedDate="45460.985583449074" createdVersion="8" refreshedVersion="8" minRefreshableVersion="3" recordCount="75" xr:uid="{0AEF761E-4C14-44A9-A1B3-D508BC0C3F65}">
  <cacheSource type="worksheet">
    <worksheetSource ref="D2:AF112" sheet="Student Master"/>
  </cacheSource>
  <cacheFields count="23">
    <cacheField name="#" numFmtId="0">
      <sharedItems containsSemiMixedTypes="0" containsString="0" containsNumber="1" containsInteger="1" minValue="1" maxValue="75"/>
    </cacheField>
    <cacheField name="Student No" numFmtId="0">
      <sharedItems/>
    </cacheField>
    <cacheField name="Student Name" numFmtId="0">
      <sharedItems count="39">
        <s v="Aaditya Patil"/>
        <s v="Tanush Thosare"/>
        <s v="Prathmesh Zope"/>
        <s v="Asmi Kshirsagar"/>
        <s v="Yatharth Kaushik"/>
        <s v="Kushal Patil"/>
        <s v="Selene Kaur"/>
        <s v="Dighvi Nikumbh"/>
        <s v="Saiansh Kumar"/>
        <s v="Atharva Titave"/>
        <s v="Shresth Deb"/>
        <s v="Swara Patil"/>
        <s v="Shlesh Nemade"/>
        <s v="Riyansh Dalvi"/>
        <s v="Ishan Prasad"/>
        <s v="Nihir Galani"/>
        <s v="Aarohi Fegde"/>
        <s v="Kaivalya Patil"/>
        <s v="Ira Deshmukh"/>
        <s v="Riyanshi Varma"/>
        <s v="Abhay Patil"/>
        <s v="Prisha Chormule"/>
        <s v="Dhruv Bawankar"/>
        <s v="Shreshth Gupta"/>
        <s v="Chaitnya Bhave"/>
        <s v="Aayushman Kale"/>
        <s v="Riyansh Pawar"/>
        <s v="Jyotiraditya Jagtap"/>
        <s v="Vikramaditya Jagtap"/>
        <s v="Swastika Yadhav"/>
        <s v="Aara Y"/>
        <s v="Nurvi Parad"/>
        <s v="Shubhra Rokade"/>
        <s v="Shreya Asarma"/>
        <s v="Swara Kondhare"/>
        <s v="Yashwi Patil"/>
        <s v="Spruha Patil"/>
        <s v="Aaradhya "/>
        <s v="Prisha Shah"/>
      </sharedItems>
    </cacheField>
    <cacheField name="Level #" numFmtId="0">
      <sharedItems/>
    </cacheField>
    <cacheField name="Level Progress" numFmtId="0">
      <sharedItems/>
    </cacheField>
    <cacheField name="Level Name" numFmtId="0">
      <sharedItems count="13">
        <s v="Jr.KG"/>
        <s v="Runner-1"/>
        <s v="Sprinter Level-1"/>
        <s v="Sprinter Level-2"/>
        <s v="Sprinter Level-3"/>
        <s v="Sprinter Level-4"/>
        <s v="Advance Level-1"/>
        <s v="Vedic Level-1"/>
        <s v="Vedic Level-2"/>
        <s v="Runner-2"/>
        <s v="Runner-3"/>
        <s v="Sr.KG "/>
        <s v="Runner-4"/>
      </sharedItems>
    </cacheField>
    <cacheField name="Kit and Books Fee -Expected" numFmtId="0">
      <sharedItems containsSemiMixedTypes="0" containsString="0" containsNumber="1" containsInteger="1" minValue="0" maxValue="1650"/>
    </cacheField>
    <cacheField name="Kit and Books Fee -Received" numFmtId="0">
      <sharedItems containsSemiMixedTypes="0" containsString="0" containsNumber="1" containsInteger="1" minValue="0" maxValue="1650"/>
    </cacheField>
    <cacheField name="Kit and Books Fee -Received On" numFmtId="0">
      <sharedItems containsDate="1" containsBlank="1" containsMixedTypes="1" minDate="2022-10-07T00:00:00" maxDate="2024-06-15T00:00:00"/>
    </cacheField>
    <cacheField name="Kits/Books Issued to Student On" numFmtId="0">
      <sharedItems containsDate="1" containsMixedTypes="1" minDate="2022-10-07T00:00:00" maxDate="2024-06-19T00:00:00"/>
    </cacheField>
    <cacheField name="Level Joined On" numFmtId="15">
      <sharedItems containsSemiMixedTypes="0" containsNonDate="0" containsDate="1" containsString="0" minDate="2022-10-07T00:00:00" maxDate="2024-06-19T00:00:00"/>
    </cacheField>
    <cacheField name="Batch" numFmtId="0">
      <sharedItems containsBlank="1"/>
    </cacheField>
    <cacheField name="Level Completed on" numFmtId="0">
      <sharedItems containsDate="1" containsBlank="1" containsMixedTypes="1" minDate="2023-01-01T00:00:00" maxDate="2024-06-16T00:00:00"/>
    </cacheField>
    <cacheField name="Exam Planned Date" numFmtId="0">
      <sharedItems containsDate="1" containsBlank="1" containsMixedTypes="1" minDate="2024-02-11T00:00:00" maxDate="2024-06-16T00:00:00"/>
    </cacheField>
    <cacheField name="Exam Actual Date" numFmtId="0">
      <sharedItems containsNonDate="0" containsDate="1" containsString="0" containsBlank="1" minDate="2024-02-11T00:00:00" maxDate="2024-06-16T00:00:00"/>
    </cacheField>
    <cacheField name="Score" numFmtId="0">
      <sharedItems containsString="0" containsBlank="1" containsNumber="1" minValue="0.92" maxValue="1"/>
    </cacheField>
    <cacheField name="Fee Model" numFmtId="0">
      <sharedItems/>
    </cacheField>
    <cacheField name="Expected Fee" numFmtId="0">
      <sharedItems containsSemiMixedTypes="0" containsString="0" containsNumber="1" containsInteger="1" minValue="0" maxValue="7200"/>
    </cacheField>
    <cacheField name="Received Fee" numFmtId="0">
      <sharedItems containsString="0" containsBlank="1" containsNumber="1" containsInteger="1" minValue="0" maxValue="6000"/>
    </cacheField>
    <cacheField name="Received Total Fee" numFmtId="0">
      <sharedItems containsDate="1" containsMixedTypes="1" minDate="2023-04-12T00:00:00" maxDate="2023-04-13T00:00:00"/>
    </cacheField>
    <cacheField name="Fee Received On" numFmtId="0">
      <sharedItems containsDate="1" containsBlank="1" containsMixedTypes="1" minDate="2022-11-03T00:00:00" maxDate="2024-06-15T00:00:00"/>
    </cacheField>
    <cacheField name="# Months if Monthly" numFmtId="0">
      <sharedItems containsString="0" containsBlank="1" containsNumber="1" containsInteger="1" minValue="1" maxValue="6"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663.681156828701" createdVersion="8" refreshedVersion="8" minRefreshableVersion="3" recordCount="136" xr:uid="{B78DE913-7259-40C5-8BD9-A5F08A75CA2D}">
  <cacheSource type="worksheet">
    <worksheetSource ref="E2:AF271" sheet="Student Master"/>
  </cacheSource>
  <cacheFields count="26">
    <cacheField name="Student No" numFmtId="0">
      <sharedItems containsBlank="1"/>
    </cacheField>
    <cacheField name="Student Name" numFmtId="0">
      <sharedItems containsBlank="1" count="66">
        <s v="Aaditya Patil"/>
        <s v="Tanush Thosare"/>
        <s v="Prathmesh Zope"/>
        <s v="Asmi Kshirsagar"/>
        <s v="Yatharth Kaushik"/>
        <s v="Kushal Patil"/>
        <s v="Selene Kaur"/>
        <s v="Dighvi Nikumbh"/>
        <s v="Saiansh Kumar"/>
        <s v="Atharva Titave"/>
        <s v="Shresth Deb"/>
        <s v="Swara Patil"/>
        <s v="Shlesh Nemade"/>
        <s v="Riyansh Dalvi"/>
        <s v="Ishan Prasad"/>
        <s v="Nihir Galani"/>
        <s v="Aarohi Fegde"/>
        <s v="Kaivalya Patil"/>
        <s v="Ira Deshmukh"/>
        <s v="Riyanshi Varma"/>
        <s v="Abhay Patil"/>
        <s v="Prisha Chormule"/>
        <s v="Dhruv Bawankar"/>
        <s v="Shreshth Gupta"/>
        <s v="Chaitnya Bhave"/>
        <s v="Aayushman Kale"/>
        <s v="Riyansh Pawar"/>
        <s v="Jyotiraditya Jagtap"/>
        <s v="Vikramaditya Jagtap"/>
        <s v="Swastika Yadhav"/>
        <s v="Aara Y"/>
        <s v="Nurvi Parad"/>
        <s v="Shubhra Rokade"/>
        <s v="Shreya Asarma"/>
        <s v="Swara Kondhare"/>
        <s v="Yashwi Patil"/>
        <s v="Spruha Patil"/>
        <s v="Aaradhya "/>
        <s v="Prisha Shah"/>
        <s v="Arnav Sachin Patil"/>
        <s v="Avyaan Chaumal"/>
        <s v="Ishanvi Bhatt"/>
        <s v="Divisha Vyawahare"/>
        <s v="Paridhi Agarwal"/>
        <s v="Navya Thakkar"/>
        <s v="Shridnyesh Aher"/>
        <s v="Arnish Jhamtani"/>
        <s v="Vedant Kumar"/>
        <s v="Archit Shette"/>
        <s v="Arnav Pol"/>
        <s v="Mahir Gandhi"/>
        <s v="Vivaan Garg"/>
        <s v="Jaanvi Nitin Khandagale"/>
        <s v="Rumi Pandita"/>
        <s v="Yugansh Pawar"/>
        <s v="Hridhaan Bagla"/>
        <s v="Tanvi Naik"/>
        <s v="Advik  Khadelwal"/>
        <s v="Prisha Deshmukh"/>
        <s v="Riaan Deshmukh"/>
        <s v="Kaira Sharma"/>
        <s v="Kabir  Kherajani"/>
        <s v="Nivaan Keswani"/>
        <s v="Samyak Bora"/>
        <s v="Satvika Yadav"/>
        <m/>
      </sharedItems>
    </cacheField>
    <cacheField name="Level #" numFmtId="0">
      <sharedItems containsBlank="1" count="16">
        <s v="A01"/>
        <s v="A03"/>
        <s v="A08"/>
        <s v="A09"/>
        <s v="A10"/>
        <s v="A11"/>
        <s v="A12"/>
        <s v="A13"/>
        <s v="V01"/>
        <s v="V02"/>
        <s v="A04"/>
        <s v="A05"/>
        <s v="A02"/>
        <s v="A06"/>
        <s v="A07"/>
        <m/>
      </sharedItems>
    </cacheField>
    <cacheField name="Student" numFmtId="0">
      <sharedItems containsBlank="1"/>
    </cacheField>
    <cacheField name="Level Progress" numFmtId="0">
      <sharedItems containsBlank="1" count="5">
        <s v="Completed"/>
        <s v="WIP"/>
        <s v="WIP_InActive"/>
        <s v="Completed "/>
        <m/>
      </sharedItems>
    </cacheField>
    <cacheField name="Level Name" numFmtId="0">
      <sharedItems containsBlank="1"/>
    </cacheField>
    <cacheField name="Kit and Books Fee -Expected" numFmtId="0">
      <sharedItems containsString="0" containsBlank="1" containsNumber="1" containsInteger="1" minValue="0" maxValue="1650"/>
    </cacheField>
    <cacheField name="Kit and Books Fee -Received" numFmtId="0">
      <sharedItems containsString="0" containsBlank="1" containsNumber="1" containsInteger="1" minValue="0" maxValue="1650"/>
    </cacheField>
    <cacheField name="Kit and Books Fee -Received On" numFmtId="0">
      <sharedItems containsDate="1" containsBlank="1" containsMixedTypes="1" minDate="2022-10-07T00:00:00" maxDate="2024-12-20T00:00:00"/>
    </cacheField>
    <cacheField name="Kits/Books Issued to Student On" numFmtId="0">
      <sharedItems containsDate="1" containsBlank="1" containsMixedTypes="1" minDate="2022-10-07T00:00:00" maxDate="2024-12-20T00:00:00"/>
    </cacheField>
    <cacheField name="Level Joined On" numFmtId="0">
      <sharedItems containsNonDate="0" containsDate="1" containsString="0" containsBlank="1" minDate="2022-10-07T00:00:00" maxDate="2024-12-20T00:00:00"/>
    </cacheField>
    <cacheField name="Batch" numFmtId="0">
      <sharedItems containsBlank="1" count="20">
        <s v="O-M-F-3-4"/>
        <s v="M-F-7-8"/>
        <s v="T-T-6-7"/>
        <s v="O-T-T-5-6"/>
        <s v="M-F-5-6"/>
        <s v="SAT-4-6"/>
        <s v="Daily-10PM"/>
        <m/>
        <s v="M-W-4-5"/>
        <s v="O-Daily-2-3"/>
        <s v="Sun 4-6"/>
        <s v="Daily-4-5"/>
        <s v="O-T-T-4-5"/>
        <s v="W-F-6-7"/>
        <s v="Daily "/>
        <s v="SAT 4-6" u="1"/>
        <s v="Sun4-6" u="1"/>
        <s v="W-F 6-7" u="1"/>
        <s v="Daily" u="1"/>
        <s v="M-F 7-8" u="1"/>
      </sharedItems>
    </cacheField>
    <cacheField name="Level Completed on" numFmtId="0">
      <sharedItems containsDate="1" containsBlank="1" containsMixedTypes="1" minDate="2023-01-01T00:00:00" maxDate="2025-01-06T00:00:00"/>
    </cacheField>
    <cacheField name="Exam Planned Date" numFmtId="0">
      <sharedItems containsDate="1" containsBlank="1" containsMixedTypes="1" minDate="2024-02-11T00:00:00" maxDate="2025-01-06T00:00:00"/>
    </cacheField>
    <cacheField name="Exam Actual Date" numFmtId="0">
      <sharedItems containsNonDate="0" containsDate="1" containsString="0" containsBlank="1" minDate="2024-02-11T00:00:00" maxDate="2025-01-06T00:00:00"/>
    </cacheField>
    <cacheField name="Score" numFmtId="0">
      <sharedItems containsString="0" containsBlank="1" containsNumber="1" minValue="0.82" maxValue="1"/>
    </cacheField>
    <cacheField name="Nominated for Trophy" numFmtId="0">
      <sharedItems containsBlank="1"/>
    </cacheField>
    <cacheField name="Trophy Season /Lot" numFmtId="0">
      <sharedItems containsString="0" containsBlank="1" containsNumber="1" containsInteger="1" minValue="2" maxValue="2"/>
    </cacheField>
    <cacheField name="Trophy Distributed" numFmtId="0">
      <sharedItems containsBlank="1"/>
    </cacheField>
    <cacheField name="Fee Model" numFmtId="0">
      <sharedItems containsBlank="1"/>
    </cacheField>
    <cacheField name="Expected Fee" numFmtId="0">
      <sharedItems containsString="0" containsBlank="1" containsNumber="1" containsInteger="1" minValue="0" maxValue="14400"/>
    </cacheField>
    <cacheField name="Received Fee" numFmtId="0">
      <sharedItems containsString="0" containsBlank="1" containsNumber="1" containsInteger="1" minValue="0" maxValue="7800"/>
    </cacheField>
    <cacheField name="Received Total Fee" numFmtId="0">
      <sharedItems containsDate="1" containsBlank="1" containsMixedTypes="1" minDate="2023-04-12T00:00:00" maxDate="2023-04-13T00:00:00"/>
    </cacheField>
    <cacheField name="Fee Received On" numFmtId="0">
      <sharedItems containsDate="1" containsBlank="1" containsMixedTypes="1" minDate="2022-11-03T00:00:00" maxDate="2025-01-07T00:00:00"/>
    </cacheField>
    <cacheField name="# Months if Monthly" numFmtId="0">
      <sharedItems containsDate="1" containsString="0" containsBlank="1" containsMixedTypes="1" minDate="1899-12-31T04:01:03" maxDate="1899-12-31T00:21:04"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42.155922106482" createdVersion="8" refreshedVersion="8" minRefreshableVersion="3" recordCount="280" xr:uid="{C6359376-6B84-40EB-92AA-4ECD2087F5DB}">
  <cacheSource type="worksheet">
    <worksheetSource ref="D2:AF2072" sheet="Student Master"/>
  </cacheSource>
  <cacheFields count="29">
    <cacheField name="#" numFmtId="0">
      <sharedItems containsString="0" containsBlank="1" containsNumber="1" containsInteger="1" minValue="1" maxValue="226"/>
    </cacheField>
    <cacheField name="Student No" numFmtId="0">
      <sharedItems containsBlank="1"/>
    </cacheField>
    <cacheField name="Student Name" numFmtId="0">
      <sharedItems containsBlank="1" count="124">
        <s v="Aaditya Patil"/>
        <s v="Tanush Thosare"/>
        <s v="Prathmesh Zope"/>
        <s v="Asmi Kshirsagar"/>
        <s v="Yatharth Kaushik"/>
        <s v="Kushal Patil"/>
        <s v="Selene Kaur"/>
        <s v="Dighvi Nikumbh"/>
        <s v="Saiansh Kumar"/>
        <s v="Atharva Titave"/>
        <s v="Shresth Deb"/>
        <s v="Swara Patil"/>
        <s v="Shlesh Nemade"/>
        <s v="Riyansh Dalvi"/>
        <s v="Ishan Prasad"/>
        <s v="Nihir Galani"/>
        <s v="Aarohi Fegde"/>
        <s v="Kaivalya Patil"/>
        <s v="Ira Deshmukh"/>
        <s v="Riyanshi Varma"/>
        <s v="Abhay Patil"/>
        <s v="Prisha Chormule"/>
        <s v="Dhruv Bawankar"/>
        <s v="Shreshth Gupta"/>
        <s v="Chaitnya Bhave"/>
        <s v="Aayushman Kale"/>
        <s v="Riyansh Pawar"/>
        <s v="Jyotiraditya Jagtap"/>
        <s v="Vikramaditya Jagtap"/>
        <s v="Swastika Yadhav"/>
        <s v="Aara Y"/>
        <s v="Nurvi Parad"/>
        <s v="Shubhra Rokade"/>
        <s v="Shreya Asarma"/>
        <s v="Swara Kondhare"/>
        <s v="Yashwi Patil"/>
        <s v="Spruha Patil"/>
        <s v="Aaradhya "/>
        <s v="Prisha Shah"/>
        <s v="Arnav Sachin Patil"/>
        <s v="Avyaan Chaumal"/>
        <s v="Ishanvi Bhatt"/>
        <s v="Divisha Vyawahare"/>
        <s v="Paridhi Agarwal"/>
        <s v="Navya Thakkar"/>
        <s v="Shridnyesh Aher"/>
        <s v="Arnish Jhamtani"/>
        <s v="Vedant Kumar"/>
        <s v="Archit Shette"/>
        <s v="Arnav Pol"/>
        <s v="Mahir Gandhi"/>
        <s v="Vivaan Garg"/>
        <s v="Jaanvi Nitin Khandagale"/>
        <s v="Rumi Pandita"/>
        <s v="Yugansh Pawar"/>
        <s v="Hridhaan Bagla"/>
        <s v="Tanvi Naik"/>
        <s v="Advik  Khadelwal"/>
        <s v="Prisha Deshmukh"/>
        <s v="Riaan Deshmukh"/>
        <s v="Kaira Sharma"/>
        <s v="Kabeer  Kherajani"/>
        <s v="Kabeer Kherajani"/>
        <s v="Nivaan Keswani"/>
        <s v="Samyak Bora"/>
        <s v="Satvika Yadav"/>
        <s v="Hitansh Agarwal"/>
        <s v="Hitanshi Agarwal"/>
        <s v="Manan Garg"/>
        <s v="Viraj Sethi"/>
        <s v="Shaurya Sachin Atkare"/>
        <s v="Manan Mulchandani"/>
        <s v="Hazel Lalvani"/>
        <s v="Vivaan Dabe"/>
        <s v="Vedika Shinde"/>
        <s v="Yuvan Lalchandani"/>
        <s v="Bhavya "/>
        <s v="Mayank Agarwal"/>
        <s v="Tanish Mulay"/>
        <s v="Tanush Mulay"/>
        <s v="Aarav Gadsingh"/>
        <s v="Hiya Agarwal"/>
        <s v="Soumya Takle"/>
        <s v="Urja Jadhav"/>
        <s v="Swara Pakhare"/>
        <s v="Siddhi Pakhare"/>
        <s v="Shreeraj Jadhav"/>
        <s v="Spriha Kamath"/>
        <s v="Aarav Sandeep Dhanajkar"/>
        <s v="Heer  Sharma"/>
        <s v="Ishani Satpute"/>
        <s v="Manasvi Yogesh Bagul"/>
        <s v="Pranavi Reddy"/>
        <s v="Hrisha Reddy "/>
        <s v="Vrushank Upadhye"/>
        <s v="Lekeisha Pooja Agarwal"/>
        <s v="Akshat Jain"/>
        <s v="Kiyansh (dance Teacher)"/>
        <s v="Agastya Dhanvijay Patil"/>
        <s v="Ashwath Dhanvijay Patil"/>
        <s v="Anaisha Jain"/>
        <s v="Vihaan Shukla"/>
        <s v="Paanvi Shukla"/>
        <s v="Shinjini Yadav"/>
        <s v="Maiesha Anand"/>
        <s v="Gracia Sewani"/>
        <s v="Chaitnya Gite"/>
        <s v="Raashi Rajnale"/>
        <s v="Nitya Sharma"/>
        <s v="Krushna Karad"/>
        <s v="Atharva Pol"/>
        <s v="Dhyana Desai"/>
        <s v="Dhyan Desai"/>
        <s v="Aarya Pawar Chaudhary "/>
        <s v="Eva Ghadge"/>
        <s v="Shlok Mahajan"/>
        <s v="Aarav Jagdish Patil "/>
        <s v="Kriyansh Chhabria"/>
        <s v="Maneet Manoj Muttepawar"/>
        <m/>
        <s v="Spriha Kamat" u="1"/>
        <s v="Rashi Rajnale" u="1"/>
        <s v="Kabir  Kherajani" u="1"/>
        <s v="Vedika Mule" u="1"/>
      </sharedItems>
    </cacheField>
    <cacheField name="Level #" numFmtId="0">
      <sharedItems containsBlank="1"/>
    </cacheField>
    <cacheField name="Student" numFmtId="0">
      <sharedItems containsBlank="1"/>
    </cacheField>
    <cacheField name="Level Progress" numFmtId="0">
      <sharedItems containsBlank="1" count="5">
        <s v="Completed"/>
        <s v="WIP"/>
        <s v="WIP_InActive"/>
        <s v="Completed "/>
        <m/>
      </sharedItems>
    </cacheField>
    <cacheField name="Level Name" numFmtId="0">
      <sharedItems containsBlank="1"/>
    </cacheField>
    <cacheField name="Kit and Books Fee -Expected" numFmtId="0">
      <sharedItems containsString="0" containsBlank="1" containsNumber="1" containsInteger="1" minValue="0" maxValue="1650"/>
    </cacheField>
    <cacheField name="Kit and Books Fee -Received" numFmtId="0">
      <sharedItems containsString="0" containsBlank="1" containsNumber="1" containsInteger="1" minValue="0" maxValue="1650"/>
    </cacheField>
    <cacheField name="Kit and Books Fee -Received On" numFmtId="0">
      <sharedItems containsNonDate="0" containsDate="1" containsString="0" containsBlank="1" minDate="2022-10-07T00:00:00" maxDate="2025-10-12T00:00:00"/>
    </cacheField>
    <cacheField name="Kits/Books Issued to Student On" numFmtId="0">
      <sharedItems containsDate="1" containsBlank="1" containsMixedTypes="1" minDate="2022-10-07T00:00:00" maxDate="2025-10-12T00:00:00"/>
    </cacheField>
    <cacheField name="Level Joined On" numFmtId="0">
      <sharedItems containsNonDate="0" containsDate="1" containsString="0" containsBlank="1" minDate="2022-10-07T00:00:00" maxDate="2025-10-12T00:00:00"/>
    </cacheField>
    <cacheField name="Batch" numFmtId="0">
      <sharedItems containsBlank="1"/>
    </cacheField>
    <cacheField name="Level Completed on" numFmtId="0">
      <sharedItems containsDate="1" containsBlank="1" containsMixedTypes="1" minDate="2023-01-01T00:00:00" maxDate="2025-09-08T00:00:00"/>
    </cacheField>
    <cacheField name="MONTHS TAken to complete levvel" numFmtId="0">
      <sharedItems containsString="0" containsBlank="1" containsNumber="1" minValue="0.93333333333333335" maxValue="26.333333333333332"/>
    </cacheField>
    <cacheField name="NO OF SESSIONS TAKEN" numFmtId="0">
      <sharedItems containsString="0" containsBlank="1" containsNumber="1" containsInteger="1" minValue="0" maxValue="211"/>
    </cacheField>
    <cacheField name="Exam Planned Date" numFmtId="0">
      <sharedItems containsDate="1" containsBlank="1" containsMixedTypes="1" minDate="2024-02-11T00:00:00" maxDate="2025-08-26T00:00:00"/>
    </cacheField>
    <cacheField name="Exam Actual Date" numFmtId="0">
      <sharedItems containsNonDate="0" containsDate="1" containsString="0" containsBlank="1" minDate="2024-02-11T00:00:00" maxDate="2025-08-26T00:00:00"/>
    </cacheField>
    <cacheField name="Score" numFmtId="0">
      <sharedItems containsString="0" containsBlank="1" containsNumber="1" minValue="0.77" maxValue="94"/>
    </cacheField>
    <cacheField name="Nominated for Trophy" numFmtId="0">
      <sharedItems containsBlank="1"/>
    </cacheField>
    <cacheField name="Trophy Season /Lot" numFmtId="0">
      <sharedItems containsString="0" containsBlank="1" containsNumber="1" minValue="0.04" maxValue="5"/>
    </cacheField>
    <cacheField name="Trophy Distributed" numFmtId="0">
      <sharedItems containsDate="1" containsBlank="1" containsMixedTypes="1" minDate="2025-01-26T00:00:00" maxDate="2025-04-01T00:00:00"/>
    </cacheField>
    <cacheField name="Fee Model" numFmtId="0">
      <sharedItems containsBlank="1"/>
    </cacheField>
    <cacheField name="Expected Fee" numFmtId="0">
      <sharedItems containsString="0" containsBlank="1" containsNumber="1" containsInteger="1" minValue="0" maxValue="10800"/>
    </cacheField>
    <cacheField name="Received Fee" numFmtId="0">
      <sharedItems containsString="0" containsBlank="1" containsNumber="1" containsInteger="1" minValue="0" maxValue="15600"/>
    </cacheField>
    <cacheField name="Received Total Fee" numFmtId="0">
      <sharedItems containsDate="1" containsBlank="1" containsMixedTypes="1" minDate="2023-04-12T00:00:00" maxDate="2025-09-17T00:00:00"/>
    </cacheField>
    <cacheField name="Fee Received On" numFmtId="0">
      <sharedItems containsDate="1" containsBlank="1" containsMixedTypes="1" minDate="2022-11-03T00:00:00" maxDate="2025-10-12T00:00:00"/>
    </cacheField>
    <cacheField name="# Months if Monthly" numFmtId="0">
      <sharedItems containsDate="1" containsBlank="1" containsMixedTypes="1" minDate="1899-12-31T04:01:03" maxDate="1899-12-31T00:43:04"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42.156284490738" createdVersion="8" refreshedVersion="8" minRefreshableVersion="3" recordCount="164" xr:uid="{4E738F07-6D3A-4529-960E-034816EF233D}">
  <cacheSource type="worksheet">
    <worksheetSource ref="D2:AF172" sheet="Student Master"/>
  </cacheSource>
  <cacheFields count="29">
    <cacheField name="#" numFmtId="0">
      <sharedItems containsString="0" containsBlank="1" containsNumber="1" containsInteger="1" minValue="1" maxValue="162"/>
    </cacheField>
    <cacheField name="Student No" numFmtId="0">
      <sharedItems/>
    </cacheField>
    <cacheField name="Student Name" numFmtId="0">
      <sharedItems containsBlank="1" count="71">
        <s v="Aaditya Patil"/>
        <s v="Tanush Thosare"/>
        <s v="Prathmesh Zope"/>
        <s v="Asmi Kshirsagar"/>
        <s v="Yatharth Kaushik"/>
        <s v="Kushal Patil"/>
        <s v="Selene Kaur"/>
        <s v="Dighvi Nikumbh"/>
        <s v="Saiansh Kumar"/>
        <s v="Atharva Titave"/>
        <s v="Shresth Deb"/>
        <s v="Swara Patil"/>
        <s v="Shlesh Nemade"/>
        <s v="Riyansh Dalvi"/>
        <s v="Ishan Prasad"/>
        <s v="Nihir Galani"/>
        <s v="Aarohi Fegde"/>
        <s v="Kaivalya Patil"/>
        <s v="Ira Deshmukh"/>
        <s v="Riyanshi Varma"/>
        <s v="Abhay Patil"/>
        <s v="Prisha Chormule"/>
        <s v="Dhruv Bawankar"/>
        <s v="Shreshth Gupta"/>
        <s v="Chaitnya Bhave"/>
        <s v="Aayushman Kale"/>
        <s v="Riyansh Pawar"/>
        <s v="Jyotiraditya Jagtap"/>
        <s v="Vikramaditya Jagtap"/>
        <s v="Swastika Yadhav"/>
        <s v="Aara Y"/>
        <s v="Nurvi Parad"/>
        <s v="Shubhra Rokade"/>
        <s v="Shreya Asarma"/>
        <s v="Swara Kondhare"/>
        <s v="Yashwi Patil"/>
        <s v="Spruha Patil"/>
        <s v="Aaradhya "/>
        <s v="Prisha Shah"/>
        <s v="Arnav Sachin Patil"/>
        <s v="Avyaan Chaumal"/>
        <s v="Ishanvi Bhatt"/>
        <s v="Divisha Vyawahare"/>
        <s v="Paridhi Agarwal"/>
        <s v="Navya Thakkar"/>
        <s v="Shridnyesh Aher"/>
        <s v="Arnish Jhamtani"/>
        <s v="Vedant Kumar"/>
        <s v="Archit Shette"/>
        <s v="Arnav Pol"/>
        <s v="Mahir Gandhi"/>
        <s v="Vivaan Garg"/>
        <s v="Jaanvi Nitin Khandagale"/>
        <s v="Rumi Pandita"/>
        <s v="Yugansh Pawar"/>
        <s v="Hridhaan Bagla"/>
        <s v="Tanvi Naik"/>
        <s v="Advik  Khadelwal"/>
        <s v="Prisha Deshmukh"/>
        <s v="Riaan Deshmukh"/>
        <s v="Kaira Sharma"/>
        <s v="Kabeer  Kherajani"/>
        <s v="Kabeer Kherajani"/>
        <s v="Nivaan Keswani"/>
        <s v="Samyak Bora"/>
        <s v="Satvika Yadav"/>
        <s v="Hitansh Agarwal"/>
        <s v="Hitanshi Agarwal"/>
        <s v="Manan Garg"/>
        <s v="Kabir  Kherajani" u="1"/>
        <m u="1"/>
      </sharedItems>
    </cacheField>
    <cacheField name="Level #" numFmtId="0">
      <sharedItems/>
    </cacheField>
    <cacheField name="Student" numFmtId="0">
      <sharedItems containsBlank="1"/>
    </cacheField>
    <cacheField name="Level Progress" numFmtId="0">
      <sharedItems containsBlank="1" count="5">
        <s v="Completed"/>
        <s v="WIP"/>
        <s v="WIP_InActive"/>
        <s v="Completed "/>
        <m u="1"/>
      </sharedItems>
    </cacheField>
    <cacheField name="Level Name" numFmtId="0">
      <sharedItems containsBlank="1" count="30">
        <s v="Jr.KG"/>
        <s v="Runner-1"/>
        <s v="Sprinter Level-1"/>
        <s v="Sprinter Level-2"/>
        <s v="Sprinter Level-3"/>
        <s v="Sprinter Level-4"/>
        <s v="Advance Level-1"/>
        <s v="Advance Level-2"/>
        <s v="Vedic Level-1"/>
        <s v="Vedic Level-2"/>
        <s v="Runner-2"/>
        <s v="Runner-3"/>
        <s v="Sr.KG "/>
        <s v="Runner-4"/>
        <s v="Runner 5"/>
        <s v="Runner 4"/>
        <s v="Runner-5"/>
        <s v="Advance level -1"/>
        <s v="Advance level -2"/>
        <s v="Runner -4"/>
        <s v="Runner -5"/>
        <s v="Runner 2"/>
        <s v="Sr.KG"/>
        <s v="Runner 1"/>
        <s v="Runner 3"/>
        <s v="Sprinter-1"/>
        <s v="Runner -2"/>
        <s v="Runner -3"/>
        <s v="Sr.KG."/>
        <m u="1"/>
      </sharedItems>
    </cacheField>
    <cacheField name="Kit and Books Fee -Expected" numFmtId="0">
      <sharedItems containsSemiMixedTypes="0" containsString="0" containsNumber="1" containsInteger="1" minValue="0" maxValue="1650"/>
    </cacheField>
    <cacheField name="Kit and Books Fee -Received" numFmtId="0">
      <sharedItems containsString="0" containsBlank="1" containsNumber="1" containsInteger="1" minValue="0" maxValue="1650"/>
    </cacheField>
    <cacheField name="Kit and Books Fee -Received On" numFmtId="0">
      <sharedItems containsNonDate="0" containsDate="1" containsString="0" containsBlank="1" minDate="2022-10-07T00:00:00" maxDate="2025-08-25T00:00:00"/>
    </cacheField>
    <cacheField name="Kits/Books Issued to Student On" numFmtId="0">
      <sharedItems containsDate="1" containsBlank="1" containsMixedTypes="1" minDate="2022-10-07T00:00:00" maxDate="2025-08-03T00:00:00"/>
    </cacheField>
    <cacheField name="Level Joined On" numFmtId="15">
      <sharedItems containsNonDate="0" containsDate="1" containsString="0" containsBlank="1" minDate="2022-10-07T00:00:00" maxDate="2025-09-23T00:00:00"/>
    </cacheField>
    <cacheField name="Batch" numFmtId="0">
      <sharedItems containsBlank="1"/>
    </cacheField>
    <cacheField name="Level Completed on" numFmtId="0">
      <sharedItems containsDate="1" containsBlank="1" containsMixedTypes="1" minDate="2023-01-01T00:00:00" maxDate="2025-07-22T00:00:00"/>
    </cacheField>
    <cacheField name="MONTHS TAken to complete levvel" numFmtId="0">
      <sharedItems containsString="0" containsBlank="1" containsNumber="1" minValue="0.93333333333333335" maxValue="26.333333333333332"/>
    </cacheField>
    <cacheField name="NO OF SESSIONS TAKEN" numFmtId="0">
      <sharedItems containsString="0" containsBlank="1" containsNumber="1" containsInteger="1" minValue="0" maxValue="211"/>
    </cacheField>
    <cacheField name="Exam Planned Date" numFmtId="0">
      <sharedItems containsDate="1" containsBlank="1" containsMixedTypes="1" minDate="2024-02-11T00:00:00" maxDate="2025-07-22T00:00:00"/>
    </cacheField>
    <cacheField name="Exam Actual Date" numFmtId="0">
      <sharedItems containsNonDate="0" containsDate="1" containsString="0" containsBlank="1" minDate="2024-02-11T00:00:00" maxDate="2025-07-22T00:00:00"/>
    </cacheField>
    <cacheField name="Score" numFmtId="0">
      <sharedItems containsString="0" containsBlank="1" containsNumber="1" minValue="0.82" maxValue="1"/>
    </cacheField>
    <cacheField name="Nominated for Trophy" numFmtId="0">
      <sharedItems containsBlank="1"/>
    </cacheField>
    <cacheField name="Trophy Season /Lot" numFmtId="0">
      <sharedItems containsString="0" containsBlank="1" containsNumber="1" minValue="0.04" maxValue="5"/>
    </cacheField>
    <cacheField name="Trophy Distributed" numFmtId="0">
      <sharedItems containsDate="1" containsBlank="1" containsMixedTypes="1" minDate="2025-01-26T00:00:00" maxDate="2025-04-01T00:00:00"/>
    </cacheField>
    <cacheField name="Fee Model" numFmtId="0">
      <sharedItems containsBlank="1"/>
    </cacheField>
    <cacheField name="Expected Fee" numFmtId="0">
      <sharedItems containsString="0" containsBlank="1" containsNumber="1" containsInteger="1" minValue="0" maxValue="10800"/>
    </cacheField>
    <cacheField name="Received Fee" numFmtId="0">
      <sharedItems containsString="0" containsBlank="1" containsNumber="1" containsInteger="1" minValue="0" maxValue="15600"/>
    </cacheField>
    <cacheField name="Received Total Fee" numFmtId="0">
      <sharedItems containsDate="1" containsBlank="1" containsMixedTypes="1" minDate="2023-04-12T00:00:00" maxDate="2023-04-13T00:00:00"/>
    </cacheField>
    <cacheField name="Fee Received On" numFmtId="0">
      <sharedItems containsDate="1" containsBlank="1" containsMixedTypes="1" minDate="2022-11-03T00:00:00" maxDate="2025-09-04T00:00:00"/>
    </cacheField>
    <cacheField name="# Months if Monthly" numFmtId="0">
      <sharedItems containsDate="1" containsBlank="1" containsMixedTypes="1" minDate="1899-12-31T04:01:03" maxDate="1899-12-31T00:43:04"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n v="1"/>
    <s v="A001"/>
    <x v="0"/>
    <s v="A01"/>
    <s v="Completed"/>
    <x v="0"/>
    <n v="1650"/>
    <n v="1650"/>
    <d v="2022-10-07T00:00:00"/>
    <d v="2022-10-07T00:00:00"/>
    <d v="2022-10-07T00:00:00"/>
    <s v="O-M-F-3-4"/>
    <m/>
    <m/>
    <m/>
    <m/>
    <s v="1st Free"/>
    <n v="0"/>
    <n v="0"/>
    <s v="NA"/>
    <s v="NA"/>
    <m/>
    <m/>
  </r>
  <r>
    <n v="2"/>
    <s v="A001"/>
    <x v="0"/>
    <s v="A03"/>
    <s v="Completed"/>
    <x v="1"/>
    <n v="600"/>
    <n v="600"/>
    <d v="2023-01-03T00:00:00"/>
    <d v="2023-01-03T00:00:00"/>
    <d v="2023-01-03T00:00:00"/>
    <s v="O-M-F-3-4"/>
    <m/>
    <m/>
    <m/>
    <m/>
    <s v="Always Free"/>
    <n v="0"/>
    <n v="0"/>
    <s v="NA"/>
    <m/>
    <m/>
    <m/>
  </r>
  <r>
    <n v="3"/>
    <s v="A002"/>
    <x v="1"/>
    <s v="A01"/>
    <s v="Completed"/>
    <x v="0"/>
    <n v="1600"/>
    <n v="1600"/>
    <d v="2022-10-07T00:00:00"/>
    <d v="2022-10-07T00:00:00"/>
    <d v="2022-10-07T00:00:00"/>
    <s v="O-M-F-3-4"/>
    <d v="2023-01-01T00:00:00"/>
    <m/>
    <m/>
    <m/>
    <s v="1st Special Fee"/>
    <n v="2500"/>
    <n v="2500"/>
    <s v="Yes"/>
    <d v="2023-01-01T00:00:00"/>
    <m/>
    <m/>
  </r>
  <r>
    <n v="4"/>
    <s v="A002"/>
    <x v="1"/>
    <s v="A03"/>
    <s v="Completed"/>
    <x v="1"/>
    <n v="600"/>
    <n v="600"/>
    <d v="2023-01-03T00:00:00"/>
    <d v="2023-01-03T00:00:00"/>
    <d v="2023-01-03T00:00:00"/>
    <s v="O-M-F-3-4"/>
    <d v="2023-04-24T00:00:00"/>
    <m/>
    <m/>
    <m/>
    <s v="Level Wise"/>
    <n v="3600"/>
    <n v="3600"/>
    <s v="Yes"/>
    <d v="2023-04-24T00:00:00"/>
    <m/>
    <m/>
  </r>
  <r>
    <n v="5"/>
    <s v="A003"/>
    <x v="2"/>
    <s v="A08"/>
    <s v="Completed"/>
    <x v="2"/>
    <n v="1600"/>
    <n v="1600"/>
    <d v="2022-11-03T00:00:00"/>
    <d v="2022-11-03T00:00:00"/>
    <d v="2022-11-05T00:00:00"/>
    <s v="M-F-7-8"/>
    <d v="2023-04-18T00:00:00"/>
    <m/>
    <m/>
    <m/>
    <s v="Level Wise"/>
    <n v="3600"/>
    <n v="3600"/>
    <s v="Yes"/>
    <d v="2022-11-03T00:00:00"/>
    <m/>
    <m/>
  </r>
  <r>
    <n v="6"/>
    <s v="A003"/>
    <x v="2"/>
    <s v="A09"/>
    <s v="Completed"/>
    <x v="3"/>
    <n v="400"/>
    <n v="400"/>
    <d v="2023-04-18T00:00:00"/>
    <d v="2023-04-18T00:00:00"/>
    <d v="2023-04-18T00:00:00"/>
    <s v="M-F-7-8"/>
    <d v="2023-07-14T00:00:00"/>
    <m/>
    <m/>
    <m/>
    <s v="Level Wise"/>
    <n v="3600"/>
    <n v="3600"/>
    <s v="Yes"/>
    <d v="2023-04-18T00:00:00"/>
    <m/>
    <m/>
  </r>
  <r>
    <n v="7"/>
    <s v="A003"/>
    <x v="2"/>
    <s v="A10"/>
    <s v="Completed"/>
    <x v="4"/>
    <n v="400"/>
    <n v="400"/>
    <d v="2023-07-17T00:00:00"/>
    <d v="2023-07-14T00:00:00"/>
    <d v="2023-07-14T00:00:00"/>
    <s v="M-F-7-8"/>
    <d v="2023-12-08T00:00:00"/>
    <m/>
    <m/>
    <m/>
    <s v="Level Wise"/>
    <n v="3600"/>
    <n v="3600"/>
    <s v="Yes"/>
    <d v="2023-07-17T00:00:00"/>
    <m/>
    <m/>
  </r>
  <r>
    <n v="8"/>
    <s v="A003"/>
    <x v="2"/>
    <s v="A11"/>
    <s v="Completed"/>
    <x v="5"/>
    <n v="400"/>
    <n v="400"/>
    <d v="2023-12-04T00:00:00"/>
    <d v="2023-12-04T00:00:00"/>
    <d v="2023-12-08T00:00:00"/>
    <s v="M-F-7-8"/>
    <d v="2024-05-25T00:00:00"/>
    <m/>
    <m/>
    <m/>
    <s v="Level Wise"/>
    <n v="3600"/>
    <n v="3600"/>
    <s v="Yes"/>
    <d v="2023-12-04T00:00:00"/>
    <m/>
    <m/>
  </r>
  <r>
    <n v="9"/>
    <s v="A003"/>
    <x v="2"/>
    <s v="A12"/>
    <s v="WIP"/>
    <x v="6"/>
    <n v="400"/>
    <n v="400"/>
    <d v="2024-06-04T00:00:00"/>
    <d v="2024-06-01T00:00:00"/>
    <d v="2024-06-01T00:00:00"/>
    <s v="M-F-7-8"/>
    <m/>
    <m/>
    <m/>
    <m/>
    <s v="Level Wise"/>
    <n v="3600"/>
    <n v="0"/>
    <s v="NO"/>
    <m/>
    <m/>
    <m/>
  </r>
  <r>
    <n v="10"/>
    <s v="A004"/>
    <x v="3"/>
    <s v="A08"/>
    <s v="Completed"/>
    <x v="2"/>
    <n v="1600"/>
    <n v="1600"/>
    <d v="2023-12-03T00:00:00"/>
    <d v="2022-11-03T00:00:00"/>
    <d v="2022-11-05T00:00:00"/>
    <s v="M-F-7-8"/>
    <d v="2023-05-12T00:00:00"/>
    <m/>
    <m/>
    <m/>
    <s v="Level Wise"/>
    <n v="3600"/>
    <n v="3600"/>
    <s v="Yes"/>
    <d v="2023-01-09T00:00:00"/>
    <m/>
    <m/>
  </r>
  <r>
    <n v="11"/>
    <s v="A004"/>
    <x v="3"/>
    <s v="A09"/>
    <s v="Completed"/>
    <x v="3"/>
    <n v="400"/>
    <n v="400"/>
    <d v="2023-05-12T00:00:00"/>
    <d v="2023-05-12T00:00:00"/>
    <d v="2023-05-12T00:00:00"/>
    <s v="M-F-7-8"/>
    <d v="2023-08-30T00:00:00"/>
    <m/>
    <m/>
    <m/>
    <s v="Level Wise"/>
    <n v="3600"/>
    <n v="3600"/>
    <s v="Yes"/>
    <d v="2023-05-12T00:00:00"/>
    <m/>
    <m/>
  </r>
  <r>
    <n v="12"/>
    <s v="A004"/>
    <x v="3"/>
    <s v="A10"/>
    <s v="Completed"/>
    <x v="4"/>
    <n v="400"/>
    <n v="400"/>
    <d v="2023-09-17T00:00:00"/>
    <d v="2023-09-17T00:00:00"/>
    <d v="2023-09-11T00:00:00"/>
    <s v="M-F-7-8"/>
    <s v="Exam is pending"/>
    <m/>
    <m/>
    <m/>
    <s v="Level Wise"/>
    <n v="3600"/>
    <n v="3600"/>
    <s v="Yes"/>
    <d v="2023-09-17T00:00:00"/>
    <m/>
    <m/>
  </r>
  <r>
    <n v="13"/>
    <s v="A005"/>
    <x v="4"/>
    <s v="V01"/>
    <s v="Completed"/>
    <x v="7"/>
    <n v="1600"/>
    <n v="1600"/>
    <d v="2022-12-02T00:00:00"/>
    <d v="2022-12-02T00:00:00"/>
    <d v="2022-11-24T00:00:00"/>
    <s v="T-T-6-7"/>
    <d v="2023-02-28T00:00:00"/>
    <m/>
    <m/>
    <m/>
    <s v="Level Wise"/>
    <n v="3600"/>
    <n v="3600"/>
    <s v="Yes"/>
    <d v="2023-02-28T00:00:00"/>
    <m/>
    <m/>
  </r>
  <r>
    <n v="14"/>
    <s v="A005"/>
    <x v="4"/>
    <s v="V02"/>
    <s v="Completed"/>
    <x v="8"/>
    <n v="600"/>
    <n v="600"/>
    <d v="2023-03-15T00:00:00"/>
    <d v="2023-03-05T00:00:00"/>
    <d v="2023-03-05T00:00:00"/>
    <s v="T-T-6-7"/>
    <m/>
    <m/>
    <m/>
    <m/>
    <s v="Level Wise"/>
    <n v="3600"/>
    <n v="3600"/>
    <s v="Yes"/>
    <d v="2023-05-02T00:00:00"/>
    <m/>
    <m/>
  </r>
  <r>
    <n v="15"/>
    <s v="A006"/>
    <x v="5"/>
    <s v="A03"/>
    <s v="Completed"/>
    <x v="1"/>
    <n v="1600"/>
    <n v="1600"/>
    <d v="2022-11-27T00:00:00"/>
    <d v="2022-11-27T00:00:00"/>
    <d v="2022-11-27T00:00:00"/>
    <s v="O-T-T-5-6"/>
    <d v="2023-02-12T00:00:00"/>
    <m/>
    <m/>
    <m/>
    <s v="Level Wise"/>
    <n v="3600"/>
    <n v="3600"/>
    <s v="Yes"/>
    <d v="2023-02-12T00:00:00"/>
    <m/>
    <m/>
  </r>
  <r>
    <n v="16"/>
    <s v="A006"/>
    <x v="5"/>
    <s v="A04"/>
    <s v="Completed"/>
    <x v="9"/>
    <n v="600"/>
    <n v="600"/>
    <d v="2023-05-02T00:00:00"/>
    <d v="2023-04-16T00:00:00"/>
    <d v="2023-04-16T00:00:00"/>
    <s v="O-T-T-5-6"/>
    <d v="2023-07-30T00:00:00"/>
    <m/>
    <m/>
    <m/>
    <s v="Level Wise"/>
    <n v="3600"/>
    <n v="3600"/>
    <s v="Yes"/>
    <d v="2023-06-05T00:00:00"/>
    <m/>
    <m/>
  </r>
  <r>
    <n v="17"/>
    <s v="A006"/>
    <x v="5"/>
    <s v="A05"/>
    <s v="Completed"/>
    <x v="10"/>
    <n v="600"/>
    <n v="600"/>
    <d v="2023-08-03T00:00:00"/>
    <d v="2023-08-03T00:00:00"/>
    <d v="2023-08-01T00:00:00"/>
    <s v="O-T-T-5-6"/>
    <m/>
    <s v="Exam Pending"/>
    <m/>
    <m/>
    <s v="Level Wise"/>
    <n v="3600"/>
    <n v="3600"/>
    <s v="Yes"/>
    <d v="2023-08-03T00:00:00"/>
    <m/>
    <m/>
  </r>
  <r>
    <n v="18"/>
    <s v="A007"/>
    <x v="6"/>
    <s v="A03"/>
    <s v="Completed"/>
    <x v="1"/>
    <n v="1600"/>
    <n v="1600"/>
    <d v="2023-01-31T00:00:00"/>
    <d v="2023-02-03T00:00:00"/>
    <d v="2023-02-03T00:00:00"/>
    <s v="M-F-5-6"/>
    <d v="2023-06-01T00:00:00"/>
    <m/>
    <m/>
    <m/>
    <s v="Level Wise"/>
    <n v="3600"/>
    <n v="3600"/>
    <s v="Yes"/>
    <d v="2023-06-01T00:00:00"/>
    <m/>
    <m/>
  </r>
  <r>
    <n v="19"/>
    <s v="A007"/>
    <x v="6"/>
    <s v="A04"/>
    <s v="Completed"/>
    <x v="9"/>
    <n v="400"/>
    <n v="400"/>
    <d v="2023-08-02T00:00:00"/>
    <d v="2023-07-28T00:00:00"/>
    <d v="2023-07-28T00:00:00"/>
    <s v="M-F-5-6"/>
    <d v="2023-10-05T00:00:00"/>
    <m/>
    <m/>
    <m/>
    <s v="Level Wise"/>
    <n v="3600"/>
    <n v="3600"/>
    <s v="Yes"/>
    <d v="2023-10-05T00:00:00"/>
    <m/>
    <m/>
  </r>
  <r>
    <n v="20"/>
    <s v="A007"/>
    <x v="6"/>
    <s v="A05"/>
    <s v="Completed"/>
    <x v="10"/>
    <n v="400"/>
    <n v="400"/>
    <d v="2023-12-03T00:00:00"/>
    <d v="2023-12-03T00:00:00"/>
    <d v="2023-12-06T00:00:00"/>
    <s v="M-F-5-6"/>
    <m/>
    <s v="Exam Pending"/>
    <m/>
    <m/>
    <s v="Level Wise"/>
    <n v="3600"/>
    <n v="3600"/>
    <s v="Yes"/>
    <d v="2024-02-08T00:00:00"/>
    <m/>
    <m/>
  </r>
  <r>
    <n v="21"/>
    <s v="A008"/>
    <x v="7"/>
    <s v="A01"/>
    <s v="Completed"/>
    <x v="0"/>
    <n v="1600"/>
    <n v="1600"/>
    <d v="2023-02-13T00:00:00"/>
    <d v="2023-02-03T00:00:00"/>
    <d v="2023-02-03T00:00:00"/>
    <s v="M-F-5-6"/>
    <d v="2023-04-30T00:00:00"/>
    <m/>
    <m/>
    <m/>
    <s v="Level Wise"/>
    <n v="3000"/>
    <n v="3000"/>
    <s v="Yes"/>
    <d v="2023-05-21T00:00:00"/>
    <m/>
    <m/>
  </r>
  <r>
    <n v="22"/>
    <s v="A008"/>
    <x v="7"/>
    <s v="A02"/>
    <s v="Completed"/>
    <x v="11"/>
    <n v="400"/>
    <n v="400"/>
    <d v="2023-05-12T00:00:00"/>
    <d v="2023-05-09T00:00:00"/>
    <d v="2023-05-09T00:00:00"/>
    <s v="M-F-5-6"/>
    <d v="2023-08-12T00:00:00"/>
    <m/>
    <m/>
    <m/>
    <s v="Level Wise"/>
    <n v="3000"/>
    <n v="3000"/>
    <s v="Yes"/>
    <d v="2023-08-12T00:00:00"/>
    <m/>
    <m/>
  </r>
  <r>
    <n v="23"/>
    <s v="A008"/>
    <x v="7"/>
    <s v="A03"/>
    <s v="WIP"/>
    <x v="1"/>
    <n v="400"/>
    <n v="400"/>
    <d v="2023-08-14T00:00:00"/>
    <d v="2023-08-14T00:00:00"/>
    <d v="2023-08-14T00:00:00"/>
    <s v="M-F-7-8"/>
    <m/>
    <m/>
    <m/>
    <m/>
    <s v="Level Wise"/>
    <n v="3600"/>
    <n v="3600"/>
    <s v="NO"/>
    <d v="2023-11-20T00:00:00"/>
    <m/>
    <m/>
  </r>
  <r>
    <n v="24"/>
    <s v="A009"/>
    <x v="8"/>
    <s v="A03"/>
    <s v="Completed"/>
    <x v="1"/>
    <n v="1600"/>
    <n v="1600"/>
    <d v="2023-03-18T00:00:00"/>
    <d v="2023-03-17T00:00:00"/>
    <d v="2023-03-17T00:00:00"/>
    <s v="M-F-5-6"/>
    <m/>
    <m/>
    <m/>
    <m/>
    <s v="Level Wise"/>
    <n v="3600"/>
    <n v="3600"/>
    <s v="Yes"/>
    <d v="2023-07-03T00:00:00"/>
    <m/>
    <m/>
  </r>
  <r>
    <n v="25"/>
    <s v="A009"/>
    <x v="8"/>
    <s v="A04"/>
    <s v="Completed"/>
    <x v="9"/>
    <n v="400"/>
    <n v="400"/>
    <d v="2023-10-22T00:00:00"/>
    <s v="13-Oct023"/>
    <d v="2023-10-13T00:00:00"/>
    <s v="M-F-5-6"/>
    <m/>
    <m/>
    <m/>
    <m/>
    <s v="Level Wise"/>
    <n v="3600"/>
    <n v="3600"/>
    <s v="Yes"/>
    <d v="2024-02-05T00:00:00"/>
    <m/>
    <m/>
  </r>
  <r>
    <n v="26"/>
    <s v="A010"/>
    <x v="9"/>
    <s v="A02"/>
    <s v="Completed"/>
    <x v="11"/>
    <n v="1600"/>
    <n v="1600"/>
    <d v="2023-04-05T00:00:00"/>
    <d v="2023-04-05T00:00:00"/>
    <d v="2023-04-02T00:00:00"/>
    <s v="SAT-4-6"/>
    <m/>
    <m/>
    <m/>
    <m/>
    <s v="Level Wise"/>
    <n v="3600"/>
    <n v="3600"/>
    <s v="Yes"/>
    <d v="2023-05-20T00:00:00"/>
    <m/>
    <m/>
  </r>
  <r>
    <n v="27"/>
    <s v="A010"/>
    <x v="9"/>
    <s v="A03"/>
    <s v="Completed"/>
    <x v="1"/>
    <n v="400"/>
    <n v="400"/>
    <d v="2023-07-16T00:00:00"/>
    <d v="2023-07-16T00:00:00"/>
    <d v="2023-07-14T00:00:00"/>
    <s v="SAT-4-6"/>
    <m/>
    <m/>
    <m/>
    <m/>
    <s v="Level Wise"/>
    <n v="3600"/>
    <n v="3600"/>
    <s v="Yes"/>
    <d v="2023-09-30T00:00:00"/>
    <m/>
    <m/>
  </r>
  <r>
    <n v="28"/>
    <s v="A010"/>
    <x v="9"/>
    <s v="A04"/>
    <s v="WIP"/>
    <x v="9"/>
    <n v="400"/>
    <n v="400"/>
    <d v="2024-03-01T00:00:00"/>
    <d v="2024-03-01T00:00:00"/>
    <d v="2024-03-09T00:00:00"/>
    <s v="SAT-4-6"/>
    <m/>
    <m/>
    <m/>
    <m/>
    <s v="Level Wise"/>
    <n v="3600"/>
    <n v="3600"/>
    <s v="Yes"/>
    <d v="2024-05-30T00:00:00"/>
    <m/>
    <m/>
  </r>
  <r>
    <n v="29"/>
    <s v="A011"/>
    <x v="10"/>
    <s v="A03"/>
    <s v="Completed"/>
    <x v="1"/>
    <n v="1600"/>
    <n v="1600"/>
    <d v="2023-04-04T00:00:00"/>
    <d v="2023-04-04T00:00:00"/>
    <d v="2023-04-04T00:00:00"/>
    <s v="M-F-7-8"/>
    <m/>
    <m/>
    <m/>
    <m/>
    <s v="Monthly"/>
    <n v="4800"/>
    <n v="4800"/>
    <s v="Yes"/>
    <d v="2023-07-06T00:00:00"/>
    <m/>
    <m/>
  </r>
  <r>
    <n v="30"/>
    <s v="A011"/>
    <x v="10"/>
    <s v="A04"/>
    <s v="Completed"/>
    <x v="9"/>
    <n v="400"/>
    <n v="400"/>
    <d v="2023-07-28T00:00:00"/>
    <d v="2023-07-28T00:00:00"/>
    <d v="2023-07-17T00:00:00"/>
    <s v="M-F-7-8"/>
    <m/>
    <m/>
    <m/>
    <m/>
    <s v="Monthly"/>
    <n v="3600"/>
    <n v="3600"/>
    <s v="Yes"/>
    <d v="2023-10-02T00:00:00"/>
    <m/>
    <m/>
  </r>
  <r>
    <n v="31"/>
    <s v="A011"/>
    <x v="10"/>
    <s v="A05"/>
    <s v="Completed"/>
    <x v="10"/>
    <n v="400"/>
    <n v="400"/>
    <d v="2023-10-09T00:00:00"/>
    <d v="2023-10-06T00:00:00"/>
    <d v="2023-10-06T00:00:00"/>
    <s v="M-F-7-8"/>
    <d v="2024-02-05T00:00:00"/>
    <m/>
    <m/>
    <m/>
    <s v="Monthly"/>
    <n v="4800"/>
    <n v="4800"/>
    <s v="Yes"/>
    <d v="2024-02-05T00:00:00"/>
    <m/>
    <m/>
  </r>
  <r>
    <n v="32"/>
    <s v="A011"/>
    <x v="10"/>
    <s v="A06"/>
    <s v="WIP"/>
    <x v="12"/>
    <n v="400"/>
    <n v="400"/>
    <s v="11-Mar024"/>
    <d v="2024-03-01T00:00:00"/>
    <d v="2024-03-01T00:00:00"/>
    <s v="M-F-7-8"/>
    <m/>
    <m/>
    <m/>
    <m/>
    <s v="Monthly"/>
    <n v="4200"/>
    <n v="4200"/>
    <s v="NO"/>
    <d v="2024-06-03T00:00:00"/>
    <m/>
    <m/>
  </r>
  <r>
    <n v="33"/>
    <s v="A012"/>
    <x v="11"/>
    <s v="A02"/>
    <s v="Completed"/>
    <x v="11"/>
    <n v="1600"/>
    <n v="1600"/>
    <d v="2023-04-10T00:00:00"/>
    <d v="2023-04-10T00:00:00"/>
    <d v="2023-04-10T00:00:00"/>
    <s v="SAT-4-6"/>
    <d v="2023-05-27T00:00:00"/>
    <m/>
    <m/>
    <m/>
    <s v="Level Wise"/>
    <n v="3600"/>
    <n v="3600"/>
    <s v="Yes"/>
    <d v="2023-05-27T00:00:00"/>
    <m/>
    <m/>
  </r>
  <r>
    <n v="34"/>
    <s v="A012"/>
    <x v="11"/>
    <s v="A03"/>
    <s v="WIP"/>
    <x v="1"/>
    <n v="400"/>
    <n v="400"/>
    <d v="2023-08-14T00:00:00"/>
    <d v="2023-08-14T00:00:00"/>
    <d v="2023-08-14T00:00:00"/>
    <s v="SAT-4-6"/>
    <m/>
    <m/>
    <m/>
    <m/>
    <s v="Level Wise"/>
    <n v="3600"/>
    <n v="3600"/>
    <s v="Yes"/>
    <d v="2023-08-14T00:00:00"/>
    <m/>
    <m/>
  </r>
  <r>
    <n v="35"/>
    <s v="A013"/>
    <x v="12"/>
    <s v="V01"/>
    <s v="Completed"/>
    <x v="7"/>
    <n v="0"/>
    <n v="0"/>
    <d v="2023-04-11T00:00:00"/>
    <d v="2023-04-11T00:00:00"/>
    <d v="2023-04-11T00:00:00"/>
    <s v="Daily-10PM"/>
    <d v="2023-05-12T00:00:00"/>
    <m/>
    <m/>
    <m/>
    <s v="Level Wise"/>
    <n v="5000"/>
    <n v="5000"/>
    <s v="Yes"/>
    <d v="2023-05-12T00:00:00"/>
    <m/>
    <m/>
  </r>
  <r>
    <n v="36"/>
    <s v="A014"/>
    <x v="13"/>
    <s v="A01"/>
    <s v="Completed"/>
    <x v="0"/>
    <n v="1600"/>
    <n v="1600"/>
    <d v="2023-04-12T00:00:00"/>
    <d v="2023-04-12T00:00:00"/>
    <d v="2023-04-12T00:00:00"/>
    <s v="M-F-5-6"/>
    <m/>
    <s v="Exam is pending"/>
    <m/>
    <m/>
    <s v="Level Wise"/>
    <n v="3600"/>
    <n v="3600"/>
    <d v="2023-04-12T00:00:00"/>
    <m/>
    <m/>
    <m/>
  </r>
  <r>
    <n v="37"/>
    <s v="A015"/>
    <x v="14"/>
    <s v="A03"/>
    <s v="Completed"/>
    <x v="1"/>
    <n v="400"/>
    <n v="400"/>
    <d v="2023-07-14T00:00:00"/>
    <d v="2023-07-14T00:00:00"/>
    <d v="2023-07-10T00:00:00"/>
    <s v="M-F-7-8"/>
    <m/>
    <m/>
    <m/>
    <m/>
    <s v="1st Free"/>
    <n v="3600"/>
    <n v="0"/>
    <s v="NA"/>
    <m/>
    <m/>
    <m/>
  </r>
  <r>
    <n v="38"/>
    <s v="A015"/>
    <x v="14"/>
    <s v="A04"/>
    <s v="Completed"/>
    <x v="9"/>
    <n v="400"/>
    <n v="400"/>
    <d v="2024-01-14T00:00:00"/>
    <d v="2024-01-14T00:00:00"/>
    <d v="2024-01-15T00:00:00"/>
    <s v="M-F-7-8"/>
    <m/>
    <m/>
    <m/>
    <m/>
    <s v="Monthly"/>
    <n v="3600"/>
    <n v="3600"/>
    <s v="Yes"/>
    <d v="2024-05-02T00:00:00"/>
    <m/>
    <m/>
  </r>
  <r>
    <n v="39"/>
    <s v="A015"/>
    <x v="14"/>
    <s v="A05"/>
    <s v="WIP"/>
    <x v="10"/>
    <n v="400"/>
    <n v="400"/>
    <d v="2024-05-16T00:00:00"/>
    <d v="2024-05-07T00:00:00"/>
    <d v="2024-05-07T00:00:00"/>
    <s v="T-T-6-7"/>
    <m/>
    <m/>
    <m/>
    <m/>
    <s v="Monthly"/>
    <n v="3600"/>
    <n v="1200"/>
    <s v="NO"/>
    <d v="2024-06-07T00:00:00"/>
    <m/>
    <s v="MAY 24 FEE RECEIVED"/>
  </r>
  <r>
    <n v="40"/>
    <s v="A016"/>
    <x v="15"/>
    <s v="A03"/>
    <s v="Completed"/>
    <x v="1"/>
    <n v="550"/>
    <n v="550"/>
    <d v="2023-07-10T00:00:00"/>
    <d v="2023-07-10T00:00:00"/>
    <d v="2023-07-10T00:00:00"/>
    <s v="M-F-5-6"/>
    <d v="2023-09-11T00:00:00"/>
    <m/>
    <m/>
    <m/>
    <s v="Level Wise"/>
    <n v="3600"/>
    <n v="3600"/>
    <s v="Yes"/>
    <d v="2023-09-11T00:00:00"/>
    <m/>
    <m/>
  </r>
  <r>
    <n v="41"/>
    <s v="A017"/>
    <x v="16"/>
    <s v="A03"/>
    <s v="Completed"/>
    <x v="1"/>
    <n v="1600"/>
    <n v="1600"/>
    <d v="2023-07-18T00:00:00"/>
    <d v="2023-07-18T00:00:00"/>
    <d v="2023-07-17T00:00:00"/>
    <s v="T-T-6-7"/>
    <m/>
    <m/>
    <m/>
    <m/>
    <s v="Monthly"/>
    <n v="4800"/>
    <n v="4800"/>
    <s v="Yes"/>
    <d v="2023-11-20T00:00:00"/>
    <m/>
    <m/>
  </r>
  <r>
    <n v="42"/>
    <s v="A017"/>
    <x v="16"/>
    <s v="A04"/>
    <s v="Completed"/>
    <x v="9"/>
    <n v="400"/>
    <n v="400"/>
    <d v="2023-12-04T00:00:00"/>
    <d v="2023-12-04T00:00:00"/>
    <d v="2023-12-04T00:00:00"/>
    <s v="T-T-6-7"/>
    <d v="2024-02-11T00:00:00"/>
    <d v="2024-02-11T00:00:00"/>
    <d v="2024-02-11T00:00:00"/>
    <m/>
    <s v="Monthly"/>
    <n v="2400"/>
    <n v="2400"/>
    <s v="NO"/>
    <d v="2024-02-11T00:00:00"/>
    <m/>
    <m/>
  </r>
  <r>
    <n v="43"/>
    <s v="A017"/>
    <x v="16"/>
    <s v="A05"/>
    <s v="Completed"/>
    <x v="10"/>
    <n v="400"/>
    <n v="400"/>
    <d v="2024-02-22T00:00:00"/>
    <d v="2024-02-22T00:00:00"/>
    <d v="2024-02-22T00:00:00"/>
    <s v="T-T-6-7"/>
    <d v="2024-05-21T00:00:00"/>
    <d v="2024-05-21T00:00:00"/>
    <d v="2024-05-21T00:00:00"/>
    <m/>
    <s v="Monthly"/>
    <n v="3600"/>
    <n v="3600"/>
    <s v="Yes"/>
    <d v="2024-05-21T00:00:00"/>
    <m/>
    <m/>
  </r>
  <r>
    <n v="44"/>
    <s v="A017"/>
    <x v="16"/>
    <s v="A06"/>
    <s v="WIP"/>
    <x v="12"/>
    <n v="400"/>
    <n v="400"/>
    <d v="2024-06-01T00:00:00"/>
    <d v="2024-06-01T00:00:00"/>
    <d v="2024-06-01T00:00:00"/>
    <s v="T-T-6-7"/>
    <m/>
    <m/>
    <m/>
    <m/>
    <s v="Monthly"/>
    <n v="1200"/>
    <m/>
    <s v="NO"/>
    <m/>
    <m/>
    <m/>
  </r>
  <r>
    <n v="45"/>
    <s v="A018"/>
    <x v="17"/>
    <s v="A03"/>
    <s v="Completed"/>
    <x v="1"/>
    <n v="1600"/>
    <n v="1600"/>
    <d v="2023-08-02T00:00:00"/>
    <d v="2023-08-02T00:00:00"/>
    <d v="2023-07-24T00:00:00"/>
    <m/>
    <m/>
    <m/>
    <m/>
    <m/>
    <s v="Level Wise"/>
    <n v="3600"/>
    <n v="3600"/>
    <s v="Yes"/>
    <d v="2023-11-05T00:00:00"/>
    <m/>
    <m/>
  </r>
  <r>
    <n v="46"/>
    <s v="A019"/>
    <x v="18"/>
    <s v="A08"/>
    <s v="WIP"/>
    <x v="2"/>
    <n v="1600"/>
    <n v="1600"/>
    <d v="2023-12-01T00:00:00"/>
    <d v="2023-12-01T00:00:00"/>
    <d v="2023-12-01T00:00:00"/>
    <s v="M-F-7-8"/>
    <m/>
    <m/>
    <m/>
    <m/>
    <s v="Monthly"/>
    <n v="7200"/>
    <n v="6000"/>
    <s v="NO"/>
    <d v="2024-06-08T00:00:00"/>
    <n v="6"/>
    <s v="excluding one month "/>
  </r>
  <r>
    <n v="47"/>
    <s v="A020"/>
    <x v="19"/>
    <s v="A08"/>
    <s v="Completed"/>
    <x v="2"/>
    <n v="400"/>
    <n v="400"/>
    <d v="2023-12-09T00:00:00"/>
    <d v="2023-12-09T00:00:00"/>
    <d v="2023-12-01T00:00:00"/>
    <s v="M-F-5-6"/>
    <s v="Exam is pending"/>
    <m/>
    <m/>
    <m/>
    <s v="Monthly"/>
    <n v="4800"/>
    <n v="4800"/>
    <s v="Yes"/>
    <d v="2024-03-21T00:00:00"/>
    <m/>
    <m/>
  </r>
  <r>
    <n v="48"/>
    <s v="A021"/>
    <x v="20"/>
    <s v="A03"/>
    <s v="Completed"/>
    <x v="1"/>
    <n v="1600"/>
    <n v="1600"/>
    <d v="2024-01-14T00:00:00"/>
    <d v="2024-01-15T00:00:00"/>
    <d v="2024-01-15T00:00:00"/>
    <s v="T-T-6-7"/>
    <d v="2024-05-30T00:00:00"/>
    <d v="2024-05-30T00:00:00"/>
    <d v="2024-05-30T00:00:00"/>
    <n v="0.95"/>
    <s v="Monthly"/>
    <n v="4800"/>
    <n v="4800"/>
    <s v="Yes"/>
    <d v="2024-06-04T00:00:00"/>
    <n v="4"/>
    <m/>
  </r>
  <r>
    <n v="49"/>
    <s v="A021"/>
    <x v="20"/>
    <s v="A04"/>
    <s v="WIP"/>
    <x v="9"/>
    <n v="400"/>
    <n v="400"/>
    <d v="2024-06-04T00:00:00"/>
    <d v="2024-06-04T00:00:00"/>
    <d v="2024-06-04T00:00:00"/>
    <s v="T-T-6-7"/>
    <m/>
    <m/>
    <m/>
    <m/>
    <s v="Monthly"/>
    <n v="1200"/>
    <m/>
    <s v="NO"/>
    <m/>
    <m/>
    <m/>
  </r>
  <r>
    <n v="50"/>
    <s v="A022"/>
    <x v="21"/>
    <s v="A02"/>
    <s v="Completed"/>
    <x v="11"/>
    <n v="1600"/>
    <n v="1600"/>
    <d v="2023-12-06T00:00:00"/>
    <d v="2024-01-18T00:00:00"/>
    <d v="2024-01-18T00:00:00"/>
    <s v="T-T-6-7"/>
    <m/>
    <m/>
    <m/>
    <n v="0.93"/>
    <s v="Level Wise"/>
    <n v="3000"/>
    <n v="3000"/>
    <s v="Yes"/>
    <d v="2024-03-18T00:00:00"/>
    <m/>
    <m/>
  </r>
  <r>
    <n v="51"/>
    <s v="A023"/>
    <x v="22"/>
    <s v="A03"/>
    <s v="WIP"/>
    <x v="1"/>
    <n v="1600"/>
    <n v="1600"/>
    <d v="2024-02-09T00:00:00"/>
    <d v="2024-02-09T00:00:00"/>
    <d v="2024-01-25T00:00:00"/>
    <s v="M-W-4-5"/>
    <m/>
    <m/>
    <m/>
    <m/>
    <s v="Monthly"/>
    <n v="6000"/>
    <n v="4800"/>
    <s v="NO"/>
    <d v="2024-06-04T00:00:00"/>
    <n v="5"/>
    <m/>
  </r>
  <r>
    <n v="52"/>
    <s v="A024"/>
    <x v="23"/>
    <s v="A02"/>
    <s v="Completed"/>
    <x v="11"/>
    <n v="1600"/>
    <n v="1600"/>
    <d v="2024-02-05T00:00:00"/>
    <d v="2024-02-10T00:00:00"/>
    <d v="2024-02-10T00:00:00"/>
    <s v="O-Daily-2-3"/>
    <m/>
    <m/>
    <m/>
    <n v="1"/>
    <s v="Per Session"/>
    <n v="4800"/>
    <n v="4800"/>
    <s v="Yes"/>
    <d v="2024-05-07T00:00:00"/>
    <m/>
    <m/>
  </r>
  <r>
    <n v="53"/>
    <s v="A024"/>
    <x v="23"/>
    <s v="A03"/>
    <s v="WIP"/>
    <x v="1"/>
    <n v="400"/>
    <n v="400"/>
    <d v="2024-06-01T00:00:00"/>
    <d v="2024-06-01T00:00:00"/>
    <d v="2024-06-01T00:00:00"/>
    <s v="SAT-4-6"/>
    <m/>
    <m/>
    <m/>
    <m/>
    <s v="Monthly"/>
    <n v="1200"/>
    <n v="1200"/>
    <s v="Yes"/>
    <d v="2024-05-07T00:00:00"/>
    <n v="1"/>
    <m/>
  </r>
  <r>
    <n v="54"/>
    <s v="A025"/>
    <x v="24"/>
    <s v="A03"/>
    <s v="WIP"/>
    <x v="1"/>
    <n v="1600"/>
    <n v="1600"/>
    <d v="2024-02-25T00:00:00"/>
    <d v="2024-03-03T00:00:00"/>
    <d v="2024-03-03T00:00:00"/>
    <s v="SAT-4-6"/>
    <m/>
    <m/>
    <m/>
    <m/>
    <s v="Monthly"/>
    <n v="4800"/>
    <n v="3600"/>
    <s v="NO"/>
    <d v="2024-05-11T00:00:00"/>
    <n v="4"/>
    <m/>
  </r>
  <r>
    <n v="55"/>
    <s v="A026"/>
    <x v="25"/>
    <s v="A03"/>
    <s v="Completed"/>
    <x v="1"/>
    <n v="1600"/>
    <n v="1600"/>
    <d v="2024-03-26T00:00:00"/>
    <d v="2024-04-01T00:00:00"/>
    <d v="2024-04-01T00:00:00"/>
    <s v="Daily-4-5"/>
    <m/>
    <m/>
    <m/>
    <n v="1"/>
    <s v="Level Wise"/>
    <n v="3600"/>
    <n v="3600"/>
    <s v="NO"/>
    <d v="2024-05-04T00:00:00"/>
    <m/>
    <m/>
  </r>
  <r>
    <n v="56"/>
    <s v="A026"/>
    <x v="25"/>
    <s v="A04"/>
    <s v="WIP"/>
    <x v="9"/>
    <n v="400"/>
    <n v="400"/>
    <d v="2024-05-16T00:00:00"/>
    <d v="2024-05-16T00:00:00"/>
    <d v="2024-05-18T00:00:00"/>
    <s v="M-W-4-5"/>
    <m/>
    <m/>
    <m/>
    <m/>
    <s v="Level Wise"/>
    <n v="3600"/>
    <n v="0"/>
    <s v="NO"/>
    <m/>
    <m/>
    <m/>
  </r>
  <r>
    <n v="57"/>
    <s v="A027"/>
    <x v="26"/>
    <s v="A03"/>
    <s v="Completed"/>
    <x v="1"/>
    <n v="1600"/>
    <n v="1600"/>
    <d v="2024-04-04T00:00:00"/>
    <d v="2024-04-04T00:00:00"/>
    <d v="2024-04-02T00:00:00"/>
    <s v="O-Daily-2-3"/>
    <d v="2024-05-13T00:00:00"/>
    <d v="2024-05-13T00:00:00"/>
    <d v="2024-05-13T00:00:00"/>
    <n v="0.97"/>
    <s v="Per Session"/>
    <n v="3600"/>
    <n v="3600"/>
    <s v="Yes"/>
    <d v="2024-05-11T00:00:00"/>
    <m/>
    <m/>
  </r>
  <r>
    <n v="58"/>
    <s v="A027"/>
    <x v="26"/>
    <s v="A04"/>
    <s v="Completed"/>
    <x v="9"/>
    <n v="400"/>
    <n v="400"/>
    <d v="2024-05-04T00:00:00"/>
    <d v="2024-05-13T00:00:00"/>
    <d v="2024-05-13T00:00:00"/>
    <s v="O-T-T-4-5"/>
    <d v="2024-06-15T00:00:00"/>
    <d v="2024-06-15T00:00:00"/>
    <d v="2024-06-15T00:00:00"/>
    <n v="0.92"/>
    <s v="Per Session"/>
    <n v="3600"/>
    <n v="3600"/>
    <s v="Yes"/>
    <d v="2024-06-14T00:00:00"/>
    <m/>
    <m/>
  </r>
  <r>
    <n v="59"/>
    <s v="A027"/>
    <x v="26"/>
    <s v="A05"/>
    <s v="WIP"/>
    <x v="10"/>
    <n v="400"/>
    <n v="400"/>
    <d v="2024-06-14T00:00:00"/>
    <d v="2024-06-18T00:00:00"/>
    <d v="2024-06-18T00:00:00"/>
    <s v="O-T-T-4-5"/>
    <m/>
    <m/>
    <m/>
    <m/>
    <s v="Level Wise"/>
    <n v="3600"/>
    <n v="0"/>
    <s v="NO"/>
    <m/>
    <m/>
    <m/>
  </r>
  <r>
    <n v="60"/>
    <s v="A028"/>
    <x v="27"/>
    <s v="A03"/>
    <s v="Completed"/>
    <x v="1"/>
    <n v="1600"/>
    <n v="1600"/>
    <d v="2024-04-04T00:00:00"/>
    <d v="2024-04-04T00:00:00"/>
    <d v="2024-04-03T00:00:00"/>
    <s v="Daily-4-5"/>
    <m/>
    <m/>
    <m/>
    <n v="1"/>
    <s v="Level Wise"/>
    <n v="3600"/>
    <n v="3600"/>
    <s v="NO"/>
    <d v="2024-05-18T00:00:00"/>
    <m/>
    <m/>
  </r>
  <r>
    <n v="61"/>
    <s v="A028"/>
    <x v="27"/>
    <s v="A04"/>
    <s v="WIP"/>
    <x v="9"/>
    <n v="400"/>
    <n v="400"/>
    <d v="2024-05-18T00:00:00"/>
    <d v="2024-05-18T00:00:00"/>
    <d v="2024-05-18T00:00:00"/>
    <s v="M-W-4-5"/>
    <m/>
    <m/>
    <m/>
    <m/>
    <s v="Level Wise"/>
    <n v="3600"/>
    <n v="0"/>
    <s v="NO"/>
    <m/>
    <m/>
    <m/>
  </r>
  <r>
    <n v="62"/>
    <s v="A029"/>
    <x v="28"/>
    <s v="A03"/>
    <s v="Completed"/>
    <x v="1"/>
    <n v="1600"/>
    <n v="1600"/>
    <d v="2024-04-04T00:00:00"/>
    <d v="2024-04-04T00:00:00"/>
    <d v="2024-04-03T00:00:00"/>
    <s v="Daily-4-5"/>
    <m/>
    <m/>
    <m/>
    <n v="0.96"/>
    <s v="Level Wise"/>
    <n v="3600"/>
    <n v="3600"/>
    <s v="NO"/>
    <d v="2024-05-18T00:00:00"/>
    <m/>
    <m/>
  </r>
  <r>
    <n v="63"/>
    <s v="A029"/>
    <x v="28"/>
    <s v="A04"/>
    <s v="WIP"/>
    <x v="9"/>
    <n v="400"/>
    <n v="400"/>
    <d v="2024-05-18T00:00:00"/>
    <d v="2024-05-18T00:00:00"/>
    <d v="2024-05-18T00:00:00"/>
    <s v="M-W-4-5"/>
    <m/>
    <m/>
    <m/>
    <m/>
    <s v="Level Wise"/>
    <n v="3600"/>
    <n v="0"/>
    <s v="NO"/>
    <m/>
    <m/>
    <m/>
  </r>
  <r>
    <n v="64"/>
    <s v="A030"/>
    <x v="29"/>
    <s v="A03"/>
    <s v="Completed"/>
    <x v="1"/>
    <n v="1600"/>
    <n v="1600"/>
    <d v="2024-04-04T00:00:00"/>
    <d v="2024-04-04T00:00:00"/>
    <d v="2024-04-03T00:00:00"/>
    <s v="Daily-4-5"/>
    <m/>
    <m/>
    <m/>
    <n v="0.94"/>
    <s v="Level Wise"/>
    <n v="3600"/>
    <n v="3600"/>
    <s v="NO"/>
    <d v="2024-05-18T00:00:00"/>
    <m/>
    <m/>
  </r>
  <r>
    <n v="65"/>
    <s v="A030"/>
    <x v="29"/>
    <s v="A04"/>
    <s v="WIP"/>
    <x v="9"/>
    <n v="400"/>
    <n v="400"/>
    <d v="2024-05-18T00:00:00"/>
    <d v="2024-05-18T00:00:00"/>
    <d v="2024-05-18T00:00:00"/>
    <s v="M-W-4-5"/>
    <m/>
    <m/>
    <m/>
    <m/>
    <s v="Level Wise"/>
    <n v="3600"/>
    <n v="0"/>
    <s v="NO"/>
    <m/>
    <m/>
    <m/>
  </r>
  <r>
    <n v="66"/>
    <s v="A031"/>
    <x v="30"/>
    <s v="A08"/>
    <s v="WIP"/>
    <x v="2"/>
    <n v="1600"/>
    <n v="1600"/>
    <d v="2024-04-16T00:00:00"/>
    <d v="2024-04-19T00:00:00"/>
    <d v="2024-04-19T00:00:00"/>
    <s v="O-T-T-4-5"/>
    <m/>
    <m/>
    <m/>
    <m/>
    <s v="Level Wise"/>
    <n v="3600"/>
    <n v="1800"/>
    <s v="NO"/>
    <d v="2024-05-01T00:00:00"/>
    <m/>
    <m/>
  </r>
  <r>
    <n v="67"/>
    <s v="A032"/>
    <x v="31"/>
    <s v="A01"/>
    <s v="WIP"/>
    <x v="0"/>
    <n v="1600"/>
    <n v="1600"/>
    <d v="2024-04-23T00:00:00"/>
    <d v="2024-04-24T00:00:00"/>
    <d v="2024-04-24T00:00:00"/>
    <s v="T-T-6-7"/>
    <m/>
    <m/>
    <m/>
    <m/>
    <s v="Level Wise"/>
    <n v="3600"/>
    <n v="1800"/>
    <s v="NO"/>
    <d v="2024-05-17T00:00:00"/>
    <m/>
    <m/>
  </r>
  <r>
    <n v="68"/>
    <s v="A033"/>
    <x v="32"/>
    <s v="A08"/>
    <s v="Completed"/>
    <x v="2"/>
    <n v="1600"/>
    <n v="1600"/>
    <d v="2024-04-29T00:00:00"/>
    <d v="2024-05-01T00:00:00"/>
    <d v="2024-05-01T00:00:00"/>
    <s v="Daily-4-5"/>
    <m/>
    <m/>
    <m/>
    <n v="0.98"/>
    <s v="Level Wise"/>
    <n v="3600"/>
    <n v="3600"/>
    <s v="Yes"/>
    <d v="2024-06-07T00:00:00"/>
    <m/>
    <m/>
  </r>
  <r>
    <n v="69"/>
    <s v="A033"/>
    <x v="32"/>
    <s v="A09"/>
    <s v="WIP"/>
    <x v="3"/>
    <n v="400"/>
    <n v="400"/>
    <d v="2024-06-07T00:00:00"/>
    <d v="2024-06-07T00:00:00"/>
    <d v="2024-06-07T00:00:00"/>
    <s v="M-F-7-8"/>
    <m/>
    <m/>
    <m/>
    <m/>
    <s v="Level Wise"/>
    <n v="3600"/>
    <n v="0"/>
    <s v="NO"/>
    <m/>
    <m/>
    <m/>
  </r>
  <r>
    <n v="70"/>
    <s v="A034"/>
    <x v="33"/>
    <s v="A03"/>
    <s v="WIP"/>
    <x v="1"/>
    <n v="1600"/>
    <n v="1600"/>
    <d v="2024-05-04T00:00:00"/>
    <d v="2024-05-04T00:00:00"/>
    <d v="2024-05-04T00:00:00"/>
    <s v="O-T-T-4-5"/>
    <m/>
    <m/>
    <m/>
    <m/>
    <s v="1st Free"/>
    <n v="0"/>
    <n v="0"/>
    <s v="NA"/>
    <m/>
    <m/>
    <m/>
  </r>
  <r>
    <n v="71"/>
    <s v="A035"/>
    <x v="34"/>
    <s v="A08"/>
    <s v="WIP"/>
    <x v="2"/>
    <n v="1600"/>
    <n v="1600"/>
    <d v="2024-05-09T00:00:00"/>
    <d v="2024-05-09T00:00:00"/>
    <d v="2024-05-09T00:00:00"/>
    <s v="SAT-4-6"/>
    <m/>
    <m/>
    <m/>
    <m/>
    <s v="Level Wise"/>
    <n v="3600"/>
    <n v="1400"/>
    <s v="NO"/>
    <d v="2024-05-10T00:00:00"/>
    <m/>
    <m/>
  </r>
  <r>
    <n v="72"/>
    <s v="A036"/>
    <x v="35"/>
    <s v="A02"/>
    <s v="WIP"/>
    <x v="11"/>
    <n v="1600"/>
    <n v="1600"/>
    <d v="2024-05-13T00:00:00"/>
    <d v="2024-05-13T00:00:00"/>
    <d v="2024-05-13T00:00:00"/>
    <s v="T-T-6-7"/>
    <m/>
    <m/>
    <m/>
    <m/>
    <s v="Level Wise"/>
    <n v="3600"/>
    <n v="0"/>
    <s v="NO"/>
    <m/>
    <m/>
    <m/>
  </r>
  <r>
    <n v="73"/>
    <s v="A037"/>
    <x v="36"/>
    <s v="A03"/>
    <s v="WIP"/>
    <x v="1"/>
    <n v="550"/>
    <n v="550"/>
    <d v="2024-05-14T00:00:00"/>
    <d v="2024-05-14T00:00:00"/>
    <d v="2024-05-14T00:00:00"/>
    <s v="M-F-7-8"/>
    <m/>
    <m/>
    <m/>
    <m/>
    <s v="Level Wise"/>
    <n v="3600"/>
    <n v="1800"/>
    <s v="NO"/>
    <d v="2024-06-10T00:00:00"/>
    <m/>
    <m/>
  </r>
  <r>
    <n v="74"/>
    <s v="A038"/>
    <x v="37"/>
    <s v="A08"/>
    <s v="WIP"/>
    <x v="2"/>
    <n v="600"/>
    <n v="0"/>
    <m/>
    <s v="Awaiting"/>
    <d v="2024-06-12T00:00:00"/>
    <s v="M-W-4-5"/>
    <m/>
    <m/>
    <m/>
    <m/>
    <s v="Monthly"/>
    <n v="3600"/>
    <n v="0"/>
    <s v="NO"/>
    <m/>
    <m/>
    <m/>
  </r>
  <r>
    <n v="75"/>
    <s v="A039"/>
    <x v="38"/>
    <s v="A02"/>
    <s v="WIP"/>
    <x v="11"/>
    <n v="1600"/>
    <n v="1600"/>
    <d v="2024-06-12T00:00:00"/>
    <s v="Awaiting"/>
    <d v="2024-06-13T00:00:00"/>
    <s v="T-T-6-7"/>
    <m/>
    <m/>
    <m/>
    <m/>
    <s v="Level Wise"/>
    <n v="3000"/>
    <n v="1000"/>
    <s v="NO"/>
    <d v="2024-06-12T00:00:00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A001"/>
    <x v="0"/>
    <x v="0"/>
    <s v="A001_Aaditya Patil_A01"/>
    <x v="0"/>
    <s v="Jr.KG"/>
    <n v="1650"/>
    <n v="1650"/>
    <d v="2022-10-07T00:00:00"/>
    <d v="2022-10-07T00:00:00"/>
    <d v="2022-10-07T00:00:00"/>
    <x v="0"/>
    <m/>
    <m/>
    <m/>
    <m/>
    <m/>
    <m/>
    <m/>
    <s v="1st Free"/>
    <n v="0"/>
    <n v="0"/>
    <s v="NA"/>
    <s v="NA"/>
    <m/>
    <m/>
  </r>
  <r>
    <s v="A001"/>
    <x v="0"/>
    <x v="1"/>
    <s v="A001_Aaditya Patil_A03"/>
    <x v="0"/>
    <s v="Runner-1"/>
    <n v="600"/>
    <n v="600"/>
    <d v="2023-01-03T00:00:00"/>
    <d v="2023-01-03T00:00:00"/>
    <d v="2023-01-03T00:00:00"/>
    <x v="0"/>
    <m/>
    <m/>
    <m/>
    <m/>
    <m/>
    <m/>
    <m/>
    <s v="Always Free"/>
    <n v="0"/>
    <n v="0"/>
    <s v="NA"/>
    <m/>
    <m/>
    <m/>
  </r>
  <r>
    <s v="A002"/>
    <x v="1"/>
    <x v="0"/>
    <s v="A002_Tanush Thosare_A01"/>
    <x v="0"/>
    <s v="Jr.KG"/>
    <n v="1600"/>
    <n v="1600"/>
    <d v="2022-10-07T00:00:00"/>
    <d v="2022-10-07T00:00:00"/>
    <d v="2022-10-07T00:00:00"/>
    <x v="0"/>
    <d v="2023-01-01T00:00:00"/>
    <m/>
    <m/>
    <m/>
    <m/>
    <m/>
    <m/>
    <s v="1st Special Fee"/>
    <n v="2500"/>
    <n v="2500"/>
    <s v="Yes"/>
    <d v="2023-01-01T00:00:00"/>
    <m/>
    <m/>
  </r>
  <r>
    <s v="A002"/>
    <x v="1"/>
    <x v="1"/>
    <s v="A002_Tanush Thosare_A03"/>
    <x v="0"/>
    <s v="Runner-1"/>
    <n v="600"/>
    <n v="600"/>
    <d v="2023-01-03T00:00:00"/>
    <d v="2023-01-03T00:00:00"/>
    <d v="2023-01-03T00:00:00"/>
    <x v="0"/>
    <d v="2023-04-24T00:00:00"/>
    <m/>
    <m/>
    <m/>
    <m/>
    <m/>
    <m/>
    <s v="Level Wise"/>
    <n v="3600"/>
    <n v="3600"/>
    <s v="Yes"/>
    <d v="2023-04-24T00:00:00"/>
    <m/>
    <m/>
  </r>
  <r>
    <s v="A003"/>
    <x v="2"/>
    <x v="2"/>
    <s v="A003_Prathmesh Zope_A08"/>
    <x v="0"/>
    <s v="Sprinter Level-1"/>
    <n v="1600"/>
    <n v="1600"/>
    <d v="2022-11-03T00:00:00"/>
    <d v="2022-11-03T00:00:00"/>
    <d v="2022-11-05T00:00:00"/>
    <x v="1"/>
    <d v="2023-04-18T00:00:00"/>
    <m/>
    <m/>
    <m/>
    <m/>
    <m/>
    <m/>
    <s v="Level Wise"/>
    <n v="3600"/>
    <n v="3600"/>
    <s v="Yes"/>
    <d v="2022-11-03T00:00:00"/>
    <m/>
    <m/>
  </r>
  <r>
    <s v="A003"/>
    <x v="2"/>
    <x v="3"/>
    <s v="A003_Prathmesh Zope_A09"/>
    <x v="0"/>
    <s v="Sprinter Level-2"/>
    <n v="400"/>
    <n v="400"/>
    <d v="2023-04-18T00:00:00"/>
    <d v="2023-04-18T00:00:00"/>
    <d v="2023-04-18T00:00:00"/>
    <x v="1"/>
    <d v="2023-07-14T00:00:00"/>
    <m/>
    <m/>
    <m/>
    <m/>
    <m/>
    <m/>
    <s v="Level Wise"/>
    <n v="3600"/>
    <n v="3600"/>
    <s v="Yes"/>
    <d v="2023-04-18T00:00:00"/>
    <m/>
    <m/>
  </r>
  <r>
    <s v="A003"/>
    <x v="2"/>
    <x v="4"/>
    <s v="A003_Prathmesh Zope_A10"/>
    <x v="0"/>
    <s v="Sprinter Level-3"/>
    <n v="400"/>
    <n v="400"/>
    <d v="2023-07-17T00:00:00"/>
    <d v="2023-07-14T00:00:00"/>
    <d v="2023-07-14T00:00:00"/>
    <x v="1"/>
    <d v="2023-12-08T00:00:00"/>
    <m/>
    <m/>
    <m/>
    <m/>
    <m/>
    <m/>
    <s v="Level Wise"/>
    <n v="3600"/>
    <n v="3600"/>
    <s v="Yes"/>
    <d v="2023-07-17T00:00:00"/>
    <m/>
    <m/>
  </r>
  <r>
    <s v="A003"/>
    <x v="2"/>
    <x v="5"/>
    <s v="A003_Prathmesh Zope_A11"/>
    <x v="0"/>
    <s v="Sprinter Level-4"/>
    <n v="400"/>
    <n v="400"/>
    <d v="2023-12-04T00:00:00"/>
    <d v="2023-12-04T00:00:00"/>
    <d v="2023-12-08T00:00:00"/>
    <x v="1"/>
    <d v="2024-05-25T00:00:00"/>
    <m/>
    <m/>
    <m/>
    <m/>
    <m/>
    <m/>
    <s v="Level Wise"/>
    <n v="3600"/>
    <n v="3600"/>
    <s v="Yes"/>
    <d v="2023-12-04T00:00:00"/>
    <m/>
    <m/>
  </r>
  <r>
    <s v="A003"/>
    <x v="2"/>
    <x v="6"/>
    <s v="A003_Prathmesh Zope_A12"/>
    <x v="0"/>
    <s v="Advance Level-1"/>
    <n v="400"/>
    <n v="400"/>
    <d v="2024-06-04T00:00:00"/>
    <d v="2024-06-01T00:00:00"/>
    <d v="2024-06-01T00:00:00"/>
    <x v="1"/>
    <d v="2024-12-03T00:00:00"/>
    <d v="2024-12-03T00:00:00"/>
    <d v="2024-12-03T00:00:00"/>
    <n v="0.82"/>
    <s v="yes"/>
    <n v="2"/>
    <s v="Yes"/>
    <s v="Level Wise"/>
    <n v="3600"/>
    <n v="3600"/>
    <s v="Yes"/>
    <d v="2024-07-22T00:00:00"/>
    <m/>
    <m/>
  </r>
  <r>
    <s v="A003"/>
    <x v="2"/>
    <x v="7"/>
    <m/>
    <x v="1"/>
    <s v="Advance Level-2"/>
    <n v="400"/>
    <m/>
    <d v="2024-12-06T00:00:00"/>
    <d v="2024-12-06T00:00:00"/>
    <d v="2024-12-06T00:00:00"/>
    <x v="1"/>
    <m/>
    <m/>
    <m/>
    <m/>
    <m/>
    <m/>
    <m/>
    <m/>
    <m/>
    <m/>
    <m/>
    <m/>
    <m/>
    <m/>
  </r>
  <r>
    <s v="A004"/>
    <x v="3"/>
    <x v="2"/>
    <s v="A004_Asmi Kshirsagar_A08"/>
    <x v="0"/>
    <s v="Sprinter Level-1"/>
    <n v="1600"/>
    <n v="1600"/>
    <d v="2023-12-03T00:00:00"/>
    <d v="2022-11-03T00:00:00"/>
    <d v="2022-11-05T00:00:00"/>
    <x v="1"/>
    <d v="2023-05-12T00:00:00"/>
    <m/>
    <m/>
    <m/>
    <m/>
    <m/>
    <m/>
    <s v="Level Wise"/>
    <n v="3600"/>
    <n v="3600"/>
    <s v="Yes"/>
    <d v="2023-01-09T00:00:00"/>
    <m/>
    <m/>
  </r>
  <r>
    <s v="A004"/>
    <x v="3"/>
    <x v="3"/>
    <s v="A004_Asmi Kshirsagar_A09"/>
    <x v="0"/>
    <s v="Sprinter Level-2"/>
    <n v="400"/>
    <n v="400"/>
    <d v="2023-05-12T00:00:00"/>
    <d v="2023-05-12T00:00:00"/>
    <d v="2023-05-12T00:00:00"/>
    <x v="1"/>
    <d v="2023-08-30T00:00:00"/>
    <m/>
    <m/>
    <m/>
    <m/>
    <m/>
    <m/>
    <s v="Level Wise"/>
    <n v="3600"/>
    <n v="3600"/>
    <s v="Yes"/>
    <d v="2023-05-12T00:00:00"/>
    <m/>
    <m/>
  </r>
  <r>
    <s v="A004"/>
    <x v="3"/>
    <x v="4"/>
    <s v="A004_Asmi Kshirsagar_A10"/>
    <x v="0"/>
    <s v="Sprinter Level-3"/>
    <n v="400"/>
    <n v="400"/>
    <d v="2023-09-17T00:00:00"/>
    <d v="2023-09-17T00:00:00"/>
    <d v="2023-09-11T00:00:00"/>
    <x v="1"/>
    <s v="Exam is pending"/>
    <m/>
    <m/>
    <m/>
    <m/>
    <m/>
    <m/>
    <s v="Level Wise"/>
    <n v="3600"/>
    <n v="3600"/>
    <s v="Yes"/>
    <d v="2023-09-17T00:00:00"/>
    <m/>
    <m/>
  </r>
  <r>
    <s v="A005"/>
    <x v="4"/>
    <x v="8"/>
    <s v="A005_Yatharth Kaushik_V01"/>
    <x v="0"/>
    <s v="Vedic Level-1"/>
    <n v="1600"/>
    <n v="1600"/>
    <d v="2022-12-02T00:00:00"/>
    <d v="2022-12-02T00:00:00"/>
    <d v="2022-11-24T00:00:00"/>
    <x v="2"/>
    <d v="2023-02-28T00:00:00"/>
    <m/>
    <m/>
    <m/>
    <m/>
    <m/>
    <m/>
    <s v="Level Wise"/>
    <n v="3600"/>
    <n v="3600"/>
    <s v="Yes"/>
    <d v="2023-02-28T00:00:00"/>
    <m/>
    <m/>
  </r>
  <r>
    <s v="A005"/>
    <x v="4"/>
    <x v="9"/>
    <s v="A005_Yatharth Kaushik_V02"/>
    <x v="0"/>
    <s v="Vedic Level-2"/>
    <n v="600"/>
    <n v="600"/>
    <d v="2023-03-15T00:00:00"/>
    <d v="2023-03-05T00:00:00"/>
    <d v="2023-03-05T00:00:00"/>
    <x v="2"/>
    <m/>
    <m/>
    <m/>
    <m/>
    <m/>
    <m/>
    <m/>
    <s v="Level Wise"/>
    <n v="3600"/>
    <n v="3600"/>
    <s v="Yes"/>
    <d v="2023-05-02T00:00:00"/>
    <m/>
    <m/>
  </r>
  <r>
    <s v="A006"/>
    <x v="5"/>
    <x v="1"/>
    <s v="A006_Kushal Patil_A03"/>
    <x v="0"/>
    <s v="Runner-1"/>
    <n v="1600"/>
    <n v="1600"/>
    <d v="2022-11-27T00:00:00"/>
    <d v="2022-11-27T00:00:00"/>
    <d v="2022-11-27T00:00:00"/>
    <x v="3"/>
    <d v="2023-02-12T00:00:00"/>
    <m/>
    <m/>
    <m/>
    <m/>
    <m/>
    <m/>
    <s v="Level Wise"/>
    <n v="3600"/>
    <n v="3600"/>
    <s v="Yes"/>
    <d v="2023-02-12T00:00:00"/>
    <m/>
    <m/>
  </r>
  <r>
    <s v="A006"/>
    <x v="5"/>
    <x v="10"/>
    <s v="A006_Kushal Patil_A04"/>
    <x v="0"/>
    <s v="Runner-2"/>
    <n v="600"/>
    <n v="600"/>
    <d v="2023-05-02T00:00:00"/>
    <d v="2023-04-16T00:00:00"/>
    <d v="2023-04-16T00:00:00"/>
    <x v="3"/>
    <d v="2023-07-30T00:00:00"/>
    <m/>
    <m/>
    <m/>
    <m/>
    <m/>
    <m/>
    <s v="Level Wise"/>
    <n v="3600"/>
    <n v="3600"/>
    <s v="Yes"/>
    <d v="2023-06-05T00:00:00"/>
    <m/>
    <m/>
  </r>
  <r>
    <s v="A006"/>
    <x v="5"/>
    <x v="11"/>
    <s v="A006_Kushal Patil_A05"/>
    <x v="0"/>
    <s v="Runner-3"/>
    <n v="600"/>
    <n v="600"/>
    <d v="2023-08-03T00:00:00"/>
    <d v="2023-08-03T00:00:00"/>
    <d v="2023-08-01T00:00:00"/>
    <x v="3"/>
    <m/>
    <s v="Exam Pending"/>
    <m/>
    <m/>
    <m/>
    <m/>
    <m/>
    <s v="Level Wise"/>
    <n v="3600"/>
    <n v="3600"/>
    <s v="Yes"/>
    <d v="2023-08-03T00:00:00"/>
    <m/>
    <m/>
  </r>
  <r>
    <s v="A007"/>
    <x v="6"/>
    <x v="1"/>
    <s v="A007_Selene Kaur_A03"/>
    <x v="0"/>
    <s v="Runner-1"/>
    <n v="1600"/>
    <n v="1600"/>
    <d v="2023-01-31T00:00:00"/>
    <d v="2023-02-03T00:00:00"/>
    <d v="2023-02-03T00:00:00"/>
    <x v="4"/>
    <d v="2023-06-01T00:00:00"/>
    <m/>
    <m/>
    <m/>
    <m/>
    <m/>
    <m/>
    <s v="Level Wise"/>
    <n v="3600"/>
    <n v="3600"/>
    <s v="Yes"/>
    <d v="2023-06-01T00:00:00"/>
    <m/>
    <m/>
  </r>
  <r>
    <s v="A007"/>
    <x v="6"/>
    <x v="10"/>
    <s v="A007_Selene Kaur_A04"/>
    <x v="0"/>
    <s v="Runner-2"/>
    <n v="400"/>
    <n v="400"/>
    <d v="2023-08-02T00:00:00"/>
    <d v="2023-07-28T00:00:00"/>
    <d v="2023-07-28T00:00:00"/>
    <x v="4"/>
    <d v="2023-10-05T00:00:00"/>
    <m/>
    <m/>
    <m/>
    <m/>
    <m/>
    <m/>
    <s v="Level Wise"/>
    <n v="3600"/>
    <n v="3600"/>
    <s v="Yes"/>
    <d v="2023-10-05T00:00:00"/>
    <m/>
    <m/>
  </r>
  <r>
    <s v="A007"/>
    <x v="6"/>
    <x v="11"/>
    <s v="A007_Selene Kaur_A05"/>
    <x v="0"/>
    <s v="Runner-3"/>
    <n v="400"/>
    <n v="400"/>
    <d v="2023-12-03T00:00:00"/>
    <d v="2023-12-03T00:00:00"/>
    <d v="2023-12-06T00:00:00"/>
    <x v="4"/>
    <m/>
    <s v="Exam Pending"/>
    <m/>
    <m/>
    <m/>
    <m/>
    <m/>
    <s v="Level Wise"/>
    <n v="3600"/>
    <n v="3600"/>
    <s v="Yes"/>
    <d v="2024-02-08T00:00:00"/>
    <m/>
    <m/>
  </r>
  <r>
    <s v="A008"/>
    <x v="7"/>
    <x v="0"/>
    <s v="A008_Dighvi Nikumbh_A01"/>
    <x v="0"/>
    <s v="Jr.KG"/>
    <n v="1600"/>
    <n v="1600"/>
    <d v="2023-02-13T00:00:00"/>
    <d v="2023-02-03T00:00:00"/>
    <d v="2023-02-03T00:00:00"/>
    <x v="4"/>
    <d v="2023-04-30T00:00:00"/>
    <m/>
    <m/>
    <m/>
    <m/>
    <m/>
    <m/>
    <s v="Level Wise"/>
    <n v="3000"/>
    <n v="3000"/>
    <s v="Yes"/>
    <d v="2023-05-21T00:00:00"/>
    <m/>
    <m/>
  </r>
  <r>
    <s v="A008"/>
    <x v="7"/>
    <x v="12"/>
    <s v="A008_Dighvi Nikumbh_A02"/>
    <x v="0"/>
    <s v="Sr.KG "/>
    <n v="400"/>
    <n v="400"/>
    <d v="2023-05-12T00:00:00"/>
    <d v="2023-05-09T00:00:00"/>
    <d v="2023-05-09T00:00:00"/>
    <x v="4"/>
    <d v="2023-08-12T00:00:00"/>
    <m/>
    <m/>
    <m/>
    <m/>
    <m/>
    <m/>
    <s v="Level Wise"/>
    <n v="3000"/>
    <n v="3000"/>
    <s v="Yes"/>
    <d v="2023-08-12T00:00:00"/>
    <m/>
    <m/>
  </r>
  <r>
    <s v="A008"/>
    <x v="7"/>
    <x v="1"/>
    <s v="A008_Dighvi Nikumbh_A03"/>
    <x v="0"/>
    <s v="Runner-1"/>
    <n v="400"/>
    <n v="400"/>
    <d v="2023-08-14T00:00:00"/>
    <d v="2023-08-14T00:00:00"/>
    <d v="2023-08-14T00:00:00"/>
    <x v="1"/>
    <d v="2024-08-30T00:00:00"/>
    <m/>
    <m/>
    <n v="0.91"/>
    <m/>
    <m/>
    <m/>
    <s v="Level Wise"/>
    <n v="3600"/>
    <n v="3600"/>
    <s v="Yes"/>
    <d v="2023-11-20T00:00:00"/>
    <m/>
    <m/>
  </r>
  <r>
    <s v="A009"/>
    <x v="8"/>
    <x v="1"/>
    <s v="A009_Saiansh Kumar_A03"/>
    <x v="0"/>
    <s v="Runner-1"/>
    <n v="1600"/>
    <n v="1600"/>
    <d v="2023-03-18T00:00:00"/>
    <d v="2023-03-17T00:00:00"/>
    <d v="2023-03-17T00:00:00"/>
    <x v="4"/>
    <m/>
    <m/>
    <m/>
    <m/>
    <m/>
    <m/>
    <m/>
    <s v="Level Wise"/>
    <n v="3600"/>
    <n v="3600"/>
    <s v="Yes"/>
    <d v="2023-07-03T00:00:00"/>
    <m/>
    <m/>
  </r>
  <r>
    <s v="A009"/>
    <x v="8"/>
    <x v="10"/>
    <s v="A009_Saiansh Kumar_A04"/>
    <x v="0"/>
    <s v="Runner-2"/>
    <n v="400"/>
    <n v="400"/>
    <d v="2023-10-22T00:00:00"/>
    <s v="13-Oct023"/>
    <d v="2023-10-13T00:00:00"/>
    <x v="4"/>
    <m/>
    <m/>
    <m/>
    <m/>
    <m/>
    <m/>
    <m/>
    <s v="Level Wise"/>
    <n v="3600"/>
    <n v="3600"/>
    <s v="Yes"/>
    <d v="2024-02-05T00:00:00"/>
    <m/>
    <m/>
  </r>
  <r>
    <s v="A010"/>
    <x v="9"/>
    <x v="12"/>
    <s v="A010_Atharva Titave_A02"/>
    <x v="0"/>
    <s v="Sr.KG "/>
    <n v="1600"/>
    <n v="1600"/>
    <d v="2023-04-05T00:00:00"/>
    <d v="2023-04-05T00:00:00"/>
    <d v="2023-04-02T00:00:00"/>
    <x v="5"/>
    <m/>
    <m/>
    <m/>
    <m/>
    <m/>
    <m/>
    <m/>
    <s v="Level Wise"/>
    <n v="3600"/>
    <n v="3600"/>
    <s v="Yes"/>
    <d v="2023-05-20T00:00:00"/>
    <m/>
    <m/>
  </r>
  <r>
    <s v="A010"/>
    <x v="9"/>
    <x v="1"/>
    <s v="A010_Atharva Titave_A03"/>
    <x v="0"/>
    <s v="Runner-1"/>
    <n v="400"/>
    <n v="400"/>
    <d v="2023-07-16T00:00:00"/>
    <d v="2023-07-16T00:00:00"/>
    <d v="2023-07-14T00:00:00"/>
    <x v="5"/>
    <m/>
    <m/>
    <m/>
    <m/>
    <m/>
    <m/>
    <m/>
    <s v="Level Wise"/>
    <n v="3600"/>
    <n v="3600"/>
    <s v="Yes"/>
    <d v="2023-09-30T00:00:00"/>
    <m/>
    <m/>
  </r>
  <r>
    <s v="A010"/>
    <x v="9"/>
    <x v="10"/>
    <s v="A010_Atharva Titave_A04"/>
    <x v="0"/>
    <s v="Runner-2"/>
    <n v="400"/>
    <n v="400"/>
    <d v="2024-03-01T00:00:00"/>
    <d v="2024-03-01T00:00:00"/>
    <d v="2024-03-09T00:00:00"/>
    <x v="5"/>
    <d v="2024-07-28T00:00:00"/>
    <d v="2024-07-20T00:00:00"/>
    <d v="2024-07-28T00:00:00"/>
    <n v="0.83"/>
    <m/>
    <m/>
    <m/>
    <s v="Level Wise"/>
    <n v="3600"/>
    <n v="3600"/>
    <s v="Yes"/>
    <d v="2024-05-30T00:00:00"/>
    <n v="5"/>
    <m/>
  </r>
  <r>
    <s v="A010"/>
    <x v="9"/>
    <x v="11"/>
    <s v="A010_Atharva Titave_A05"/>
    <x v="1"/>
    <s v="Runner-3"/>
    <n v="400"/>
    <n v="400"/>
    <d v="2024-09-18T00:00:00"/>
    <d v="2024-07-28T00:00:00"/>
    <d v="2024-07-28T00:00:00"/>
    <x v="5"/>
    <m/>
    <m/>
    <m/>
    <m/>
    <m/>
    <m/>
    <m/>
    <s v="Level Wise"/>
    <n v="3600"/>
    <n v="3600"/>
    <s v="Yes"/>
    <d v="2024-09-18T00:00:00"/>
    <m/>
    <m/>
  </r>
  <r>
    <s v="A011"/>
    <x v="10"/>
    <x v="1"/>
    <s v="A011_Shresth Deb_A03"/>
    <x v="0"/>
    <s v="Runner-1"/>
    <n v="1600"/>
    <n v="1600"/>
    <d v="2023-04-04T00:00:00"/>
    <d v="2023-04-04T00:00:00"/>
    <d v="2023-04-04T00:00:00"/>
    <x v="1"/>
    <m/>
    <m/>
    <m/>
    <m/>
    <m/>
    <m/>
    <m/>
    <s v="Monthly"/>
    <n v="4800"/>
    <n v="4800"/>
    <s v="Yes"/>
    <d v="2023-07-06T00:00:00"/>
    <m/>
    <m/>
  </r>
  <r>
    <s v="A011"/>
    <x v="10"/>
    <x v="10"/>
    <s v="A011_Shresth Deb_A04"/>
    <x v="0"/>
    <s v="Runner-2"/>
    <n v="400"/>
    <n v="400"/>
    <d v="2023-07-28T00:00:00"/>
    <d v="2023-07-28T00:00:00"/>
    <d v="2023-07-17T00:00:00"/>
    <x v="1"/>
    <m/>
    <m/>
    <m/>
    <m/>
    <m/>
    <m/>
    <m/>
    <s v="Monthly"/>
    <n v="3600"/>
    <n v="3600"/>
    <s v="Yes"/>
    <d v="2023-10-02T00:00:00"/>
    <m/>
    <m/>
  </r>
  <r>
    <s v="A011"/>
    <x v="10"/>
    <x v="11"/>
    <s v="A011_Shresth Deb_A05"/>
    <x v="0"/>
    <s v="Runner-3"/>
    <n v="400"/>
    <n v="400"/>
    <d v="2023-10-09T00:00:00"/>
    <d v="2023-10-06T00:00:00"/>
    <d v="2023-10-06T00:00:00"/>
    <x v="1"/>
    <d v="2024-02-05T00:00:00"/>
    <m/>
    <m/>
    <m/>
    <m/>
    <m/>
    <m/>
    <s v="Monthly"/>
    <n v="4800"/>
    <n v="4800"/>
    <s v="Yes"/>
    <d v="2024-02-05T00:00:00"/>
    <m/>
    <m/>
  </r>
  <r>
    <s v="A011"/>
    <x v="10"/>
    <x v="13"/>
    <s v="A011_Shresth Deb_A06"/>
    <x v="2"/>
    <s v="Runner-4"/>
    <n v="400"/>
    <n v="400"/>
    <s v="11-Mar024"/>
    <d v="2024-03-01T00:00:00"/>
    <d v="2024-03-01T00:00:00"/>
    <x v="1"/>
    <m/>
    <m/>
    <m/>
    <m/>
    <m/>
    <m/>
    <m/>
    <s v="Monthly"/>
    <n v="5400"/>
    <n v="5400"/>
    <s v="NO"/>
    <d v="2024-07-05T00:00:00"/>
    <n v="5"/>
    <m/>
  </r>
  <r>
    <s v="A012"/>
    <x v="11"/>
    <x v="12"/>
    <s v="A012_Swara Patil_A02"/>
    <x v="0"/>
    <s v="Sr.KG "/>
    <n v="1600"/>
    <n v="1600"/>
    <d v="2023-04-10T00:00:00"/>
    <d v="2023-04-10T00:00:00"/>
    <d v="2023-04-10T00:00:00"/>
    <x v="5"/>
    <d v="2023-05-27T00:00:00"/>
    <m/>
    <m/>
    <m/>
    <m/>
    <m/>
    <m/>
    <s v="Level Wise"/>
    <n v="3600"/>
    <n v="3600"/>
    <s v="Yes"/>
    <d v="2023-05-27T00:00:00"/>
    <m/>
    <m/>
  </r>
  <r>
    <s v="A012"/>
    <x v="11"/>
    <x v="1"/>
    <s v="A012_Swara Patil_A03"/>
    <x v="2"/>
    <s v="Runner-1"/>
    <n v="400"/>
    <n v="400"/>
    <d v="2023-08-14T00:00:00"/>
    <d v="2023-08-14T00:00:00"/>
    <d v="2023-08-14T00:00:00"/>
    <x v="5"/>
    <m/>
    <m/>
    <m/>
    <m/>
    <m/>
    <m/>
    <m/>
    <s v="Level Wise"/>
    <n v="3600"/>
    <n v="3600"/>
    <s v="Yes"/>
    <d v="2023-08-14T00:00:00"/>
    <m/>
    <m/>
  </r>
  <r>
    <s v="A013"/>
    <x v="12"/>
    <x v="8"/>
    <s v="A013_Shlesh Nemade_V01"/>
    <x v="0"/>
    <s v="Vedic Level-1"/>
    <n v="0"/>
    <n v="0"/>
    <d v="2023-04-11T00:00:00"/>
    <d v="2023-04-11T00:00:00"/>
    <d v="2023-04-11T00:00:00"/>
    <x v="6"/>
    <d v="2023-05-12T00:00:00"/>
    <m/>
    <m/>
    <m/>
    <m/>
    <m/>
    <m/>
    <s v="Level Wise"/>
    <n v="5000"/>
    <n v="5000"/>
    <s v="Yes"/>
    <d v="2023-05-12T00:00:00"/>
    <m/>
    <m/>
  </r>
  <r>
    <s v="A014"/>
    <x v="13"/>
    <x v="0"/>
    <s v="A014_Riyansh Dalvi_A01"/>
    <x v="0"/>
    <s v="Jr.KG"/>
    <n v="1600"/>
    <n v="1600"/>
    <d v="2023-04-12T00:00:00"/>
    <d v="2023-04-12T00:00:00"/>
    <d v="2023-04-12T00:00:00"/>
    <x v="4"/>
    <m/>
    <s v="Exam is pending"/>
    <m/>
    <m/>
    <m/>
    <m/>
    <m/>
    <s v="Level Wise"/>
    <n v="3600"/>
    <n v="3600"/>
    <d v="2023-04-12T00:00:00"/>
    <m/>
    <m/>
    <m/>
  </r>
  <r>
    <s v="A015"/>
    <x v="14"/>
    <x v="1"/>
    <s v="A015_Ishan Prasad_A03"/>
    <x v="0"/>
    <s v="Runner-1"/>
    <n v="400"/>
    <n v="400"/>
    <d v="2023-07-14T00:00:00"/>
    <d v="2023-07-14T00:00:00"/>
    <d v="2023-07-10T00:00:00"/>
    <x v="1"/>
    <m/>
    <m/>
    <m/>
    <m/>
    <m/>
    <m/>
    <m/>
    <s v="1st Free"/>
    <n v="3600"/>
    <n v="0"/>
    <s v="NA"/>
    <m/>
    <m/>
    <m/>
  </r>
  <r>
    <s v="A015"/>
    <x v="14"/>
    <x v="10"/>
    <s v="A015_Ishan Prasad_A04"/>
    <x v="0"/>
    <s v="Runner-2"/>
    <n v="400"/>
    <n v="400"/>
    <d v="2024-01-14T00:00:00"/>
    <d v="2024-01-14T00:00:00"/>
    <d v="2024-01-15T00:00:00"/>
    <x v="1"/>
    <m/>
    <m/>
    <m/>
    <m/>
    <m/>
    <m/>
    <m/>
    <s v="Monthly"/>
    <n v="3600"/>
    <n v="3600"/>
    <s v="Yes"/>
    <d v="2024-05-02T00:00:00"/>
    <m/>
    <m/>
  </r>
  <r>
    <s v="A015"/>
    <x v="14"/>
    <x v="11"/>
    <s v="A015_Ishan Prasad_A05"/>
    <x v="2"/>
    <s v="Runner-3"/>
    <n v="400"/>
    <n v="400"/>
    <d v="2024-05-16T00:00:00"/>
    <d v="2024-05-07T00:00:00"/>
    <d v="2024-05-07T00:00:00"/>
    <x v="2"/>
    <m/>
    <m/>
    <m/>
    <m/>
    <m/>
    <m/>
    <m/>
    <s v="Monthly"/>
    <n v="3600"/>
    <n v="3600"/>
    <s v="NO"/>
    <d v="2024-09-10T00:00:00"/>
    <m/>
    <s v="MAY 24 FEE RECEIVED"/>
  </r>
  <r>
    <s v="A016"/>
    <x v="15"/>
    <x v="1"/>
    <s v="A016_Nihir Galani_A03"/>
    <x v="0"/>
    <s v="Runner-1"/>
    <n v="550"/>
    <n v="550"/>
    <d v="2023-07-10T00:00:00"/>
    <d v="2023-07-10T00:00:00"/>
    <d v="2023-07-10T00:00:00"/>
    <x v="4"/>
    <d v="2023-09-11T00:00:00"/>
    <m/>
    <m/>
    <m/>
    <m/>
    <m/>
    <m/>
    <s v="Level Wise"/>
    <n v="3600"/>
    <n v="3600"/>
    <s v="Yes"/>
    <d v="2023-09-11T00:00:00"/>
    <m/>
    <m/>
  </r>
  <r>
    <s v="A017"/>
    <x v="16"/>
    <x v="1"/>
    <s v="A017_Aarohi Fegde_A03"/>
    <x v="0"/>
    <s v="Runner-1"/>
    <n v="1600"/>
    <n v="1600"/>
    <d v="2023-07-18T00:00:00"/>
    <d v="2023-07-18T00:00:00"/>
    <d v="2023-07-17T00:00:00"/>
    <x v="2"/>
    <m/>
    <m/>
    <m/>
    <m/>
    <m/>
    <m/>
    <m/>
    <s v="Monthly"/>
    <n v="4800"/>
    <n v="4800"/>
    <s v="Yes"/>
    <d v="2023-11-20T00:00:00"/>
    <m/>
    <m/>
  </r>
  <r>
    <s v="A017"/>
    <x v="16"/>
    <x v="10"/>
    <s v="A017_Aarohi Fegde_A04"/>
    <x v="0"/>
    <s v="Runner-2"/>
    <n v="400"/>
    <n v="400"/>
    <d v="2023-12-04T00:00:00"/>
    <d v="2023-12-04T00:00:00"/>
    <d v="2023-12-04T00:00:00"/>
    <x v="2"/>
    <d v="2024-02-11T00:00:00"/>
    <d v="2024-02-11T00:00:00"/>
    <d v="2024-02-11T00:00:00"/>
    <m/>
    <m/>
    <m/>
    <m/>
    <s v="Monthly"/>
    <n v="2400"/>
    <n v="2400"/>
    <s v="NO"/>
    <d v="2024-02-11T00:00:00"/>
    <m/>
    <m/>
  </r>
  <r>
    <s v="A017"/>
    <x v="16"/>
    <x v="11"/>
    <s v="A017_Aarohi Fegde_A05"/>
    <x v="0"/>
    <s v="Runner-3"/>
    <n v="400"/>
    <n v="400"/>
    <d v="2024-02-22T00:00:00"/>
    <d v="2024-02-22T00:00:00"/>
    <d v="2024-02-22T00:00:00"/>
    <x v="2"/>
    <d v="2024-05-21T00:00:00"/>
    <d v="2024-05-21T00:00:00"/>
    <d v="2024-05-21T00:00:00"/>
    <n v="0.99"/>
    <m/>
    <m/>
    <m/>
    <s v="Monthly"/>
    <n v="3600"/>
    <n v="3600"/>
    <s v="Yes"/>
    <d v="2024-05-21T00:00:00"/>
    <n v="3"/>
    <m/>
  </r>
  <r>
    <s v="A017"/>
    <x v="16"/>
    <x v="13"/>
    <s v="A017_Aarohi Fegde_A06"/>
    <x v="1"/>
    <s v="Runner-4"/>
    <n v="400"/>
    <n v="400"/>
    <d v="2024-06-18T00:00:00"/>
    <d v="2024-06-01T00:00:00"/>
    <d v="2024-06-01T00:00:00"/>
    <x v="2"/>
    <m/>
    <m/>
    <m/>
    <m/>
    <m/>
    <m/>
    <m/>
    <s v="Monthly"/>
    <n v="3600"/>
    <n v="4800"/>
    <s v="Yes"/>
    <d v="2024-12-13T00:00:00"/>
    <n v="4"/>
    <m/>
  </r>
  <r>
    <s v="A018"/>
    <x v="17"/>
    <x v="1"/>
    <s v="A018_Kaivalya Patil_A03"/>
    <x v="0"/>
    <s v="Runner-1"/>
    <n v="1600"/>
    <n v="1600"/>
    <d v="2023-08-02T00:00:00"/>
    <d v="2023-08-02T00:00:00"/>
    <d v="2023-07-24T00:00:00"/>
    <x v="7"/>
    <m/>
    <m/>
    <m/>
    <m/>
    <m/>
    <m/>
    <m/>
    <s v="Level Wise"/>
    <n v="3600"/>
    <n v="3600"/>
    <s v="Yes"/>
    <d v="2023-11-05T00:00:00"/>
    <m/>
    <m/>
  </r>
  <r>
    <s v="A019"/>
    <x v="18"/>
    <x v="2"/>
    <s v="A019_Ira Deshmukh_A08"/>
    <x v="2"/>
    <s v="Sprinter Level-1"/>
    <n v="1600"/>
    <n v="1600"/>
    <d v="2023-12-01T00:00:00"/>
    <d v="2023-12-01T00:00:00"/>
    <d v="2023-12-01T00:00:00"/>
    <x v="1"/>
    <m/>
    <m/>
    <m/>
    <m/>
    <m/>
    <m/>
    <m/>
    <s v="Monthly"/>
    <n v="8400"/>
    <n v="6000"/>
    <s v="NO"/>
    <d v="2024-07-05T00:00:00"/>
    <n v="7"/>
    <s v="excluding one month "/>
  </r>
  <r>
    <s v="A020"/>
    <x v="19"/>
    <x v="2"/>
    <s v="A020_Riyanshi Varma_A08"/>
    <x v="0"/>
    <s v="Sprinter Level-1"/>
    <n v="400"/>
    <n v="400"/>
    <d v="2023-12-09T00:00:00"/>
    <d v="2023-12-09T00:00:00"/>
    <d v="2023-12-01T00:00:00"/>
    <x v="4"/>
    <s v="Exam is pending"/>
    <m/>
    <m/>
    <m/>
    <m/>
    <m/>
    <m/>
    <s v="Monthly"/>
    <n v="4800"/>
    <n v="4800"/>
    <s v="Yes"/>
    <d v="2024-03-21T00:00:00"/>
    <m/>
    <m/>
  </r>
  <r>
    <s v="A021"/>
    <x v="20"/>
    <x v="1"/>
    <s v="A021_Abhay Patil_A03"/>
    <x v="0"/>
    <s v="Runner-1"/>
    <n v="1600"/>
    <n v="1600"/>
    <d v="2024-01-14T00:00:00"/>
    <d v="2024-01-15T00:00:00"/>
    <d v="2024-01-15T00:00:00"/>
    <x v="2"/>
    <d v="2024-05-30T00:00:00"/>
    <d v="2024-05-30T00:00:00"/>
    <d v="2024-05-30T00:00:00"/>
    <n v="0.95"/>
    <m/>
    <m/>
    <m/>
    <s v="Monthly"/>
    <n v="4800"/>
    <n v="4800"/>
    <s v="Yes"/>
    <d v="2024-06-04T00:00:00"/>
    <n v="4"/>
    <m/>
  </r>
  <r>
    <s v="A021"/>
    <x v="20"/>
    <x v="10"/>
    <s v="A021_Abhay Patil_A04"/>
    <x v="2"/>
    <s v="Runner-2"/>
    <n v="400"/>
    <n v="400"/>
    <d v="2024-06-04T00:00:00"/>
    <d v="2024-06-04T00:00:00"/>
    <d v="2024-06-04T00:00:00"/>
    <x v="2"/>
    <m/>
    <m/>
    <m/>
    <m/>
    <m/>
    <m/>
    <m/>
    <s v="Monthly"/>
    <n v="3600"/>
    <n v="2400"/>
    <s v="NO"/>
    <d v="2024-07-04T00:00:00"/>
    <n v="2"/>
    <m/>
  </r>
  <r>
    <s v="A022"/>
    <x v="21"/>
    <x v="12"/>
    <s v="A022_Prisha Chormule_A02"/>
    <x v="0"/>
    <s v="Sr.KG "/>
    <n v="1600"/>
    <n v="1600"/>
    <d v="2023-12-06T00:00:00"/>
    <d v="2024-01-18T00:00:00"/>
    <d v="2024-01-18T00:00:00"/>
    <x v="2"/>
    <m/>
    <m/>
    <m/>
    <n v="0.93"/>
    <m/>
    <m/>
    <m/>
    <s v="Level Wise"/>
    <n v="3000"/>
    <n v="3000"/>
    <s v="Yes"/>
    <d v="2024-03-18T00:00:00"/>
    <m/>
    <m/>
  </r>
  <r>
    <s v="A023"/>
    <x v="22"/>
    <x v="1"/>
    <s v="A023_Dhruv Bawankar_A03"/>
    <x v="2"/>
    <s v="Runner-1"/>
    <n v="1600"/>
    <n v="1600"/>
    <d v="2024-02-09T00:00:00"/>
    <d v="2024-02-09T00:00:00"/>
    <d v="2024-01-25T00:00:00"/>
    <x v="8"/>
    <m/>
    <m/>
    <m/>
    <m/>
    <m/>
    <m/>
    <m/>
    <s v="Monthly"/>
    <n v="14400"/>
    <n v="4800"/>
    <s v="NO"/>
    <d v="2024-06-14T00:00:00"/>
    <n v="12"/>
    <m/>
  </r>
  <r>
    <s v="A024"/>
    <x v="23"/>
    <x v="12"/>
    <s v="A024_Shreshth Gupta_A02"/>
    <x v="0"/>
    <s v="Sr.KG "/>
    <n v="1600"/>
    <n v="1600"/>
    <d v="2024-02-05T00:00:00"/>
    <d v="2024-02-10T00:00:00"/>
    <d v="2024-02-10T00:00:00"/>
    <x v="9"/>
    <m/>
    <m/>
    <m/>
    <n v="1"/>
    <m/>
    <m/>
    <m/>
    <s v="Per Session"/>
    <n v="4800"/>
    <n v="4800"/>
    <s v="Yes"/>
    <d v="2024-05-07T00:00:00"/>
    <m/>
    <m/>
  </r>
  <r>
    <s v="A024"/>
    <x v="23"/>
    <x v="1"/>
    <s v="A024_Shreshth Gupta_A03"/>
    <x v="3"/>
    <s v="Runner-1"/>
    <n v="400"/>
    <n v="400"/>
    <d v="2024-06-01T00:00:00"/>
    <d v="2024-06-01T00:00:00"/>
    <d v="2024-06-01T00:00:00"/>
    <x v="10"/>
    <d v="2025-01-05T00:00:00"/>
    <d v="2025-01-05T00:00:00"/>
    <d v="2025-01-05T00:00:00"/>
    <n v="1"/>
    <m/>
    <m/>
    <m/>
    <s v="Monthly"/>
    <n v="6000"/>
    <n v="7200"/>
    <s v="Yes"/>
    <d v="2024-12-06T00:00:00"/>
    <n v="5"/>
    <m/>
  </r>
  <r>
    <s v="A024"/>
    <x v="23"/>
    <x v="10"/>
    <m/>
    <x v="1"/>
    <m/>
    <m/>
    <m/>
    <m/>
    <m/>
    <m/>
    <x v="7"/>
    <m/>
    <m/>
    <m/>
    <m/>
    <m/>
    <m/>
    <m/>
    <m/>
    <m/>
    <m/>
    <m/>
    <m/>
    <m/>
    <m/>
  </r>
  <r>
    <s v="A025"/>
    <x v="24"/>
    <x v="1"/>
    <s v="A025_Chaitnya Bhave_A03"/>
    <x v="0"/>
    <s v="Runner-1"/>
    <n v="1600"/>
    <n v="1600"/>
    <d v="2024-02-25T00:00:00"/>
    <d v="2024-03-03T00:00:00"/>
    <d v="2024-03-03T00:00:00"/>
    <x v="5"/>
    <m/>
    <m/>
    <m/>
    <n v="0.95"/>
    <m/>
    <m/>
    <m/>
    <s v="Monthly"/>
    <n v="8400"/>
    <n v="7800"/>
    <s v="Yes"/>
    <d v="2024-09-08T00:00:00"/>
    <n v="7"/>
    <m/>
  </r>
  <r>
    <s v="A025"/>
    <x v="24"/>
    <x v="10"/>
    <s v="A025_Chaitnya Bhave_A04"/>
    <x v="1"/>
    <s v="Runner-2"/>
    <n v="400"/>
    <n v="400"/>
    <d v="2024-10-10T00:00:00"/>
    <d v="2024-10-06T00:00:00"/>
    <d v="2024-10-06T00:00:00"/>
    <x v="10"/>
    <m/>
    <m/>
    <m/>
    <m/>
    <m/>
    <m/>
    <m/>
    <s v="Monthly"/>
    <n v="3600"/>
    <n v="2400"/>
    <s v="NO"/>
    <d v="2024-12-21T00:00:00"/>
    <n v="2"/>
    <m/>
  </r>
  <r>
    <s v="A026"/>
    <x v="25"/>
    <x v="1"/>
    <s v="A026_Aayushman Kale_A03"/>
    <x v="0"/>
    <s v="Runner-1"/>
    <n v="1600"/>
    <n v="1600"/>
    <d v="2024-03-26T00:00:00"/>
    <d v="2024-04-01T00:00:00"/>
    <d v="2024-04-01T00:00:00"/>
    <x v="11"/>
    <m/>
    <m/>
    <m/>
    <n v="1"/>
    <m/>
    <m/>
    <m/>
    <s v="Level Wise"/>
    <n v="3600"/>
    <n v="3600"/>
    <s v="Yes"/>
    <d v="2024-05-04T00:00:00"/>
    <m/>
    <m/>
  </r>
  <r>
    <s v="A026"/>
    <x v="25"/>
    <x v="10"/>
    <s v="A026_Aayushman Kale_A04"/>
    <x v="0"/>
    <s v="Runner-2"/>
    <n v="400"/>
    <n v="400"/>
    <d v="2024-05-16T00:00:00"/>
    <d v="2024-05-16T00:00:00"/>
    <d v="2024-05-18T00:00:00"/>
    <x v="8"/>
    <d v="2024-07-01T00:00:00"/>
    <d v="2024-07-01T00:00:00"/>
    <d v="2024-07-01T00:00:00"/>
    <n v="0.96"/>
    <m/>
    <m/>
    <m/>
    <s v="Level Wise"/>
    <n v="3600"/>
    <n v="3600"/>
    <s v="Yes"/>
    <d v="2024-07-05T00:00:00"/>
    <m/>
    <m/>
  </r>
  <r>
    <s v="A026"/>
    <x v="25"/>
    <x v="11"/>
    <s v="A026_Aayushman Kale_A05"/>
    <x v="0"/>
    <s v="Runner-3"/>
    <n v="400"/>
    <n v="400"/>
    <d v="2024-07-01T00:00:00"/>
    <d v="2024-07-01T00:00:00"/>
    <d v="2024-07-01T00:00:00"/>
    <x v="8"/>
    <d v="2024-09-18T00:00:00"/>
    <d v="2024-09-18T00:00:00"/>
    <d v="2024-09-18T00:00:00"/>
    <n v="0.96"/>
    <m/>
    <m/>
    <m/>
    <s v="Level Wise"/>
    <n v="3600"/>
    <n v="3100"/>
    <s v="Yes"/>
    <d v="2024-09-21T00:00:00"/>
    <n v="3"/>
    <m/>
  </r>
  <r>
    <s v="A026"/>
    <x v="25"/>
    <x v="13"/>
    <s v="A026_Aayushman Kale_A06"/>
    <x v="1"/>
    <s v="Runner 4"/>
    <n v="400"/>
    <n v="400"/>
    <d v="2024-09-21T00:00:00"/>
    <d v="2024-09-23T00:00:00"/>
    <d v="2024-09-23T00:00:00"/>
    <x v="8"/>
    <m/>
    <m/>
    <m/>
    <m/>
    <m/>
    <m/>
    <m/>
    <s v="150/Session "/>
    <n v="3600"/>
    <n v="2400"/>
    <s v="NO"/>
    <d v="2024-11-10T00:00:00"/>
    <n v="2"/>
    <m/>
  </r>
  <r>
    <s v="A027"/>
    <x v="26"/>
    <x v="1"/>
    <s v="A027_Riyansh Pawar_A03"/>
    <x v="0"/>
    <s v="Runner-1"/>
    <n v="1600"/>
    <n v="1600"/>
    <d v="2024-04-04T00:00:00"/>
    <d v="2024-04-04T00:00:00"/>
    <d v="2024-04-02T00:00:00"/>
    <x v="9"/>
    <d v="2024-05-13T00:00:00"/>
    <d v="2024-05-13T00:00:00"/>
    <d v="2024-05-13T00:00:00"/>
    <n v="0.97"/>
    <m/>
    <m/>
    <m/>
    <s v="Per Session"/>
    <n v="3600"/>
    <n v="3600"/>
    <s v="Yes"/>
    <d v="2024-05-11T00:00:00"/>
    <m/>
    <m/>
  </r>
  <r>
    <s v="A027"/>
    <x v="26"/>
    <x v="10"/>
    <s v="A027_Riyansh Pawar_A04"/>
    <x v="0"/>
    <s v="Runner-2"/>
    <n v="400"/>
    <n v="400"/>
    <d v="2024-05-04T00:00:00"/>
    <d v="2024-05-13T00:00:00"/>
    <d v="2024-05-13T00:00:00"/>
    <x v="12"/>
    <d v="2024-06-15T00:00:00"/>
    <d v="2024-06-15T00:00:00"/>
    <d v="2024-06-15T00:00:00"/>
    <n v="0.92"/>
    <m/>
    <m/>
    <m/>
    <s v="Per Session"/>
    <n v="3600"/>
    <n v="3600"/>
    <s v="Yes"/>
    <d v="2024-06-14T00:00:00"/>
    <m/>
    <m/>
  </r>
  <r>
    <s v="A027"/>
    <x v="26"/>
    <x v="11"/>
    <s v="A027_Riyansh Pawar_A05"/>
    <x v="0"/>
    <s v="Runner-3"/>
    <n v="400"/>
    <n v="400"/>
    <d v="2024-06-14T00:00:00"/>
    <d v="2024-06-17T00:00:00"/>
    <d v="2024-06-18T00:00:00"/>
    <x v="12"/>
    <d v="2024-08-20T00:00:00"/>
    <d v="2024-08-20T00:00:00"/>
    <d v="2024-08-20T00:00:00"/>
    <n v="0.99"/>
    <m/>
    <m/>
    <m/>
    <s v="Level Wise"/>
    <n v="3600"/>
    <n v="3600"/>
    <s v="Yes"/>
    <d v="2024-08-21T00:00:00"/>
    <m/>
    <m/>
  </r>
  <r>
    <s v="A027"/>
    <x v="26"/>
    <x v="13"/>
    <s v="A027_Riyansh Pawar_A06"/>
    <x v="0"/>
    <s v="Runner-4"/>
    <n v="400"/>
    <n v="400"/>
    <d v="2024-08-21T00:00:00"/>
    <d v="2024-08-20T00:00:00"/>
    <d v="2024-08-22T00:00:00"/>
    <x v="12"/>
    <d v="2024-10-10T00:00:00"/>
    <d v="2024-10-10T00:00:00"/>
    <d v="2024-10-10T00:00:00"/>
    <n v="0.99329999999999996"/>
    <m/>
    <m/>
    <m/>
    <s v="Level Wise"/>
    <n v="3600"/>
    <n v="3600"/>
    <s v="Yes"/>
    <d v="2024-10-11T00:00:00"/>
    <m/>
    <m/>
  </r>
  <r>
    <s v="A027"/>
    <x v="26"/>
    <x v="14"/>
    <s v="A027_Riyansh Pawar_A07"/>
    <x v="1"/>
    <s v="Runner 5"/>
    <n v="400"/>
    <n v="400"/>
    <d v="2024-10-11T00:00:00"/>
    <d v="2024-10-10T00:00:00"/>
    <d v="2024-10-10T00:00:00"/>
    <x v="12"/>
    <m/>
    <m/>
    <m/>
    <m/>
    <m/>
    <m/>
    <m/>
    <s v="Level Wise"/>
    <n v="3600"/>
    <m/>
    <m/>
    <m/>
    <m/>
    <m/>
  </r>
  <r>
    <s v="A028"/>
    <x v="27"/>
    <x v="1"/>
    <s v="A028_Jyotiraditya Jagtap_A03"/>
    <x v="0"/>
    <s v="Runner-1"/>
    <n v="1600"/>
    <n v="1600"/>
    <d v="2024-04-04T00:00:00"/>
    <d v="2024-04-04T00:00:00"/>
    <d v="2024-04-03T00:00:00"/>
    <x v="11"/>
    <m/>
    <m/>
    <m/>
    <n v="1"/>
    <m/>
    <m/>
    <m/>
    <s v="Level Wise"/>
    <n v="3600"/>
    <n v="3600"/>
    <s v="NO"/>
    <d v="2024-05-18T00:00:00"/>
    <m/>
    <m/>
  </r>
  <r>
    <s v="A028"/>
    <x v="27"/>
    <x v="10"/>
    <s v="A028_Jyotiraditya Jagtap_A04"/>
    <x v="0"/>
    <s v="Runner-2"/>
    <n v="400"/>
    <n v="400"/>
    <d v="2024-05-18T00:00:00"/>
    <d v="2024-05-18T00:00:00"/>
    <d v="2024-05-18T00:00:00"/>
    <x v="8"/>
    <d v="2024-07-01T00:00:00"/>
    <d v="2024-07-01T00:00:00"/>
    <d v="2024-07-01T00:00:00"/>
    <n v="1"/>
    <m/>
    <m/>
    <m/>
    <s v="Level Wise"/>
    <n v="3600"/>
    <n v="3600"/>
    <s v="Yes"/>
    <d v="2024-07-08T00:00:00"/>
    <m/>
    <m/>
  </r>
  <r>
    <s v="A028"/>
    <x v="27"/>
    <x v="11"/>
    <s v="A028_Jyotiraditya Jagtap_A05"/>
    <x v="0"/>
    <s v="Runner-3"/>
    <n v="400"/>
    <n v="400"/>
    <d v="2024-07-01T00:00:00"/>
    <d v="2024-07-01T00:00:00"/>
    <d v="2024-07-01T00:00:00"/>
    <x v="8"/>
    <d v="2024-09-04T00:00:00"/>
    <d v="2024-09-04T00:00:00"/>
    <d v="2024-09-04T00:00:00"/>
    <n v="0.98"/>
    <m/>
    <m/>
    <m/>
    <s v="Level Wise"/>
    <n v="3600"/>
    <n v="3600"/>
    <s v="Yes"/>
    <d v="2024-09-09T00:00:00"/>
    <m/>
    <m/>
  </r>
  <r>
    <s v="A028"/>
    <x v="27"/>
    <x v="13"/>
    <s v="A028_Jyotiraditya Jagtap_A06"/>
    <x v="1"/>
    <s v="Runner -4"/>
    <n v="400"/>
    <n v="400"/>
    <d v="2024-09-04T00:00:00"/>
    <d v="2024-09-04T00:00:00"/>
    <d v="2024-09-09T00:00:00"/>
    <x v="8"/>
    <m/>
    <m/>
    <m/>
    <m/>
    <m/>
    <m/>
    <m/>
    <s v="150/Session "/>
    <n v="3600"/>
    <n v="1200"/>
    <s v="NO"/>
    <d v="2024-10-11T00:00:00"/>
    <m/>
    <m/>
  </r>
  <r>
    <s v="A029"/>
    <x v="28"/>
    <x v="1"/>
    <s v="A029_Vikramaditya Jagtap_A03"/>
    <x v="0"/>
    <s v="Runner-1"/>
    <n v="1600"/>
    <n v="1600"/>
    <d v="2024-04-04T00:00:00"/>
    <d v="2024-04-04T00:00:00"/>
    <d v="2024-04-03T00:00:00"/>
    <x v="11"/>
    <m/>
    <m/>
    <m/>
    <n v="0.98"/>
    <m/>
    <m/>
    <m/>
    <s v="Level Wise"/>
    <n v="3600"/>
    <n v="3600"/>
    <s v="Yes"/>
    <d v="2024-05-18T00:00:00"/>
    <m/>
    <m/>
  </r>
  <r>
    <s v="A029"/>
    <x v="28"/>
    <x v="10"/>
    <s v="A029_Vikramaditya Jagtap_A04"/>
    <x v="0"/>
    <s v="Runner-2"/>
    <n v="400"/>
    <n v="400"/>
    <d v="2024-05-18T00:00:00"/>
    <d v="2024-05-18T00:00:00"/>
    <d v="2024-05-18T00:00:00"/>
    <x v="8"/>
    <d v="2024-07-17T00:00:00"/>
    <d v="2024-07-17T00:00:00"/>
    <d v="2024-07-17T00:00:00"/>
    <n v="0.98"/>
    <m/>
    <m/>
    <m/>
    <s v="Level Wise"/>
    <n v="3600"/>
    <n v="3600"/>
    <s v="Yes"/>
    <d v="2024-07-19T00:00:00"/>
    <m/>
    <m/>
  </r>
  <r>
    <s v="A029"/>
    <x v="28"/>
    <x v="11"/>
    <s v="A029_Vikramaditya Jagtap_A05"/>
    <x v="1"/>
    <s v="Runner-3"/>
    <n v="400"/>
    <n v="400"/>
    <d v="2024-07-17T00:00:00"/>
    <d v="2024-07-17T00:00:00"/>
    <d v="2024-07-17T00:00:00"/>
    <x v="8"/>
    <m/>
    <m/>
    <m/>
    <m/>
    <m/>
    <m/>
    <m/>
    <s v="Level Wise"/>
    <n v="3600"/>
    <n v="0"/>
    <s v="NO"/>
    <m/>
    <m/>
    <m/>
  </r>
  <r>
    <s v="A030"/>
    <x v="29"/>
    <x v="1"/>
    <s v="A030_Swastika Yadhav_A03"/>
    <x v="0"/>
    <s v="Runner-1"/>
    <n v="1600"/>
    <n v="1600"/>
    <d v="2024-04-04T00:00:00"/>
    <d v="2024-04-04T00:00:00"/>
    <d v="2024-04-03T00:00:00"/>
    <x v="11"/>
    <m/>
    <m/>
    <m/>
    <n v="0.94"/>
    <m/>
    <m/>
    <m/>
    <s v="Level Wise"/>
    <n v="3600"/>
    <n v="3600"/>
    <s v="Yes"/>
    <d v="2024-05-18T00:00:00"/>
    <m/>
    <m/>
  </r>
  <r>
    <s v="A030"/>
    <x v="29"/>
    <x v="10"/>
    <s v="A030_Swastika Yadhav_A04"/>
    <x v="0"/>
    <s v="Runner-2"/>
    <n v="400"/>
    <n v="400"/>
    <d v="2024-05-18T00:00:00"/>
    <d v="2024-05-18T00:00:00"/>
    <d v="2024-05-18T00:00:00"/>
    <x v="8"/>
    <d v="2024-07-01T00:00:00"/>
    <d v="2024-07-01T00:00:00"/>
    <d v="2024-07-01T00:00:00"/>
    <n v="0.98"/>
    <m/>
    <m/>
    <m/>
    <s v="Level Wise"/>
    <n v="3600"/>
    <n v="3600"/>
    <s v="Yes"/>
    <d v="2024-07-03T00:00:00"/>
    <m/>
    <m/>
  </r>
  <r>
    <s v="A030"/>
    <x v="29"/>
    <x v="11"/>
    <s v="A030_Swastika Yadhav_A05"/>
    <x v="0"/>
    <s v="Runner-3"/>
    <n v="400"/>
    <n v="400"/>
    <d v="2024-07-03T00:00:00"/>
    <d v="2024-07-01T00:00:00"/>
    <d v="2024-07-01T00:00:00"/>
    <x v="8"/>
    <d v="2024-09-09T00:00:00"/>
    <d v="2024-09-09T00:00:00"/>
    <d v="2024-09-09T00:00:00"/>
    <n v="0.96"/>
    <m/>
    <m/>
    <m/>
    <s v="Level Wise"/>
    <n v="3600"/>
    <n v="3600"/>
    <s v="Yes"/>
    <d v="2024-09-27T00:00:00"/>
    <m/>
    <m/>
  </r>
  <r>
    <s v="A030"/>
    <x v="29"/>
    <x v="13"/>
    <s v="A030_Swastika Yadhav_A06"/>
    <x v="1"/>
    <s v="Runner -4"/>
    <n v="400"/>
    <n v="400"/>
    <d v="2024-09-27T00:00:00"/>
    <d v="2024-09-16T00:00:00"/>
    <d v="2024-09-16T00:00:00"/>
    <x v="10"/>
    <m/>
    <m/>
    <m/>
    <m/>
    <m/>
    <m/>
    <m/>
    <s v="/Session "/>
    <n v="3600"/>
    <m/>
    <m/>
    <m/>
    <m/>
    <m/>
  </r>
  <r>
    <s v="A031"/>
    <x v="30"/>
    <x v="2"/>
    <s v="A031_Aara Y_A08"/>
    <x v="0"/>
    <s v="Sprinter Level-1"/>
    <n v="1600"/>
    <n v="1600"/>
    <d v="2024-04-16T00:00:00"/>
    <d v="2024-04-19T00:00:00"/>
    <d v="2024-04-19T00:00:00"/>
    <x v="12"/>
    <d v="2024-07-06T00:00:00"/>
    <d v="2024-07-06T00:00:00"/>
    <d v="2024-07-06T00:00:00"/>
    <n v="1"/>
    <m/>
    <m/>
    <m/>
    <s v="Level Wise"/>
    <n v="3600"/>
    <n v="3600"/>
    <s v="Yes"/>
    <d v="2024-07-10T00:00:00"/>
    <m/>
    <m/>
  </r>
  <r>
    <s v="A032"/>
    <x v="31"/>
    <x v="0"/>
    <s v="A032_Nurvi Parad_A01"/>
    <x v="2"/>
    <s v="Jr.KG"/>
    <n v="1600"/>
    <n v="1600"/>
    <d v="2024-04-23T00:00:00"/>
    <d v="2024-04-24T00:00:00"/>
    <d v="2024-04-24T00:00:00"/>
    <x v="2"/>
    <m/>
    <m/>
    <m/>
    <m/>
    <m/>
    <m/>
    <m/>
    <s v="Level Wise"/>
    <n v="3600"/>
    <n v="1800"/>
    <s v="NO"/>
    <d v="2024-05-17T00:00:00"/>
    <m/>
    <m/>
  </r>
  <r>
    <s v="A033"/>
    <x v="32"/>
    <x v="2"/>
    <s v="A033_Shubhra Rokade_A08"/>
    <x v="0"/>
    <s v="Sprinter Level-1"/>
    <n v="1600"/>
    <n v="1600"/>
    <d v="2024-04-29T00:00:00"/>
    <d v="2024-05-01T00:00:00"/>
    <d v="2024-05-01T00:00:00"/>
    <x v="11"/>
    <m/>
    <m/>
    <m/>
    <n v="0.98"/>
    <m/>
    <m/>
    <m/>
    <s v="Level Wise"/>
    <n v="3600"/>
    <n v="3600"/>
    <s v="Yes"/>
    <d v="2024-06-07T00:00:00"/>
    <m/>
    <m/>
  </r>
  <r>
    <s v="A033"/>
    <x v="32"/>
    <x v="3"/>
    <s v="A033_Shubhra Rokade_A09"/>
    <x v="0"/>
    <s v="Sprinter Level-2"/>
    <n v="400"/>
    <n v="400"/>
    <d v="2024-06-07T00:00:00"/>
    <d v="2024-06-07T00:00:00"/>
    <d v="2024-06-07T00:00:00"/>
    <x v="1"/>
    <d v="2024-07-05T00:00:00"/>
    <d v="2024-07-05T00:00:00"/>
    <d v="2024-07-05T00:00:00"/>
    <n v="1"/>
    <m/>
    <m/>
    <m/>
    <s v="Level Wise"/>
    <n v="3600"/>
    <n v="3000"/>
    <s v="Yes"/>
    <d v="2024-07-09T00:00:00"/>
    <m/>
    <m/>
  </r>
  <r>
    <s v="A033"/>
    <x v="32"/>
    <x v="4"/>
    <s v="A033_Shubhra Rokade_A10"/>
    <x v="0"/>
    <s v="Sprinter Level-3"/>
    <n v="400"/>
    <n v="400"/>
    <d v="2024-07-08T00:00:00"/>
    <d v="2024-07-08T00:00:00"/>
    <d v="2024-07-08T00:00:00"/>
    <x v="1"/>
    <d v="2024-09-14T00:00:00"/>
    <d v="2024-09-14T00:00:00"/>
    <d v="2024-09-14T00:00:00"/>
    <n v="0.99109999999999998"/>
    <m/>
    <m/>
    <m/>
    <s v="Level Wise"/>
    <n v="3600"/>
    <n v="3000"/>
    <s v="Yes"/>
    <d v="2024-09-17T00:00:00"/>
    <m/>
    <m/>
  </r>
  <r>
    <s v="A033"/>
    <x v="32"/>
    <x v="5"/>
    <s v="A033_Shubhra Rokade_A11"/>
    <x v="1"/>
    <s v="Sprinter Level-4"/>
    <n v="400"/>
    <n v="400"/>
    <d v="2024-09-17T00:00:00"/>
    <d v="2024-09-13T00:00:00"/>
    <d v="2024-09-13T00:00:00"/>
    <x v="1"/>
    <m/>
    <m/>
    <m/>
    <m/>
    <m/>
    <m/>
    <m/>
    <s v="Level Wise"/>
    <n v="3600"/>
    <m/>
    <m/>
    <m/>
    <m/>
    <m/>
  </r>
  <r>
    <s v="A034"/>
    <x v="33"/>
    <x v="1"/>
    <s v="A034_Shreya Asarma_A03"/>
    <x v="0"/>
    <s v="Runner-1"/>
    <n v="1600"/>
    <n v="1600"/>
    <d v="2024-05-04T00:00:00"/>
    <d v="2024-05-04T00:00:00"/>
    <d v="2024-05-04T00:00:00"/>
    <x v="12"/>
    <d v="2024-06-22T00:00:00"/>
    <d v="2024-06-22T00:00:00"/>
    <d v="2024-06-22T00:00:00"/>
    <n v="0.95"/>
    <m/>
    <m/>
    <m/>
    <s v="1st Free"/>
    <n v="0"/>
    <n v="0"/>
    <s v="NA"/>
    <m/>
    <m/>
    <m/>
  </r>
  <r>
    <s v="A034"/>
    <x v="33"/>
    <x v="10"/>
    <s v="A034_Shreya Asarma_A04"/>
    <x v="3"/>
    <s v="Runner-2"/>
    <n v="400"/>
    <n v="400"/>
    <d v="2024-08-31T00:00:00"/>
    <d v="2024-08-31T00:00:00"/>
    <d v="2024-09-03T00:00:00"/>
    <x v="12"/>
    <d v="2024-12-01T00:00:00"/>
    <d v="2024-12-01T00:00:00"/>
    <d v="2024-12-01T00:00:00"/>
    <n v="1"/>
    <m/>
    <m/>
    <m/>
    <s v="Monthly"/>
    <n v="3600"/>
    <n v="3600"/>
    <s v="Yes"/>
    <d v="2024-11-04T00:00:00"/>
    <n v="3"/>
    <m/>
  </r>
  <r>
    <s v="A034"/>
    <x v="33"/>
    <x v="11"/>
    <m/>
    <x v="1"/>
    <s v="Runner-3"/>
    <n v="400"/>
    <n v="400"/>
    <d v="2024-12-19T00:00:00"/>
    <d v="2024-12-19T00:00:00"/>
    <d v="2024-12-19T00:00:00"/>
    <x v="12"/>
    <m/>
    <m/>
    <m/>
    <m/>
    <m/>
    <m/>
    <m/>
    <s v="levelwise "/>
    <n v="3600"/>
    <n v="1800"/>
    <s v="NO"/>
    <d v="2025-01-06T00:00:00"/>
    <m/>
    <m/>
  </r>
  <r>
    <s v="A035"/>
    <x v="34"/>
    <x v="2"/>
    <s v="A035_Swara Kondhare_A08"/>
    <x v="2"/>
    <s v="Sprinter Level-1"/>
    <n v="1600"/>
    <n v="1600"/>
    <d v="2024-05-09T00:00:00"/>
    <d v="2024-05-09T00:00:00"/>
    <d v="2024-05-09T00:00:00"/>
    <x v="5"/>
    <m/>
    <m/>
    <m/>
    <m/>
    <m/>
    <m/>
    <m/>
    <s v="Level Wise"/>
    <n v="3600"/>
    <n v="1400"/>
    <s v="NO"/>
    <d v="2024-05-10T00:00:00"/>
    <m/>
    <m/>
  </r>
  <r>
    <s v="A036"/>
    <x v="35"/>
    <x v="12"/>
    <s v="A036_Yashwi Patil_A02"/>
    <x v="0"/>
    <s v="Sr.KG "/>
    <n v="1600"/>
    <n v="1600"/>
    <d v="2024-05-13T00:00:00"/>
    <d v="2024-05-13T00:00:00"/>
    <d v="2024-05-13T00:00:00"/>
    <x v="2"/>
    <d v="2024-06-26T00:00:00"/>
    <d v="2024-06-26T00:00:00"/>
    <d v="2024-06-26T00:00:00"/>
    <n v="0.96"/>
    <m/>
    <m/>
    <m/>
    <s v="Level Wise"/>
    <n v="3600"/>
    <n v="3600"/>
    <s v="Yes"/>
    <d v="2024-06-27T00:00:00"/>
    <m/>
    <m/>
  </r>
  <r>
    <s v="A037"/>
    <x v="36"/>
    <x v="1"/>
    <s v="A037_Spruha Patil_A03"/>
    <x v="0"/>
    <s v="Runner-1"/>
    <n v="550"/>
    <n v="550"/>
    <d v="2024-05-14T00:00:00"/>
    <d v="2024-05-14T00:00:00"/>
    <d v="2024-05-14T00:00:00"/>
    <x v="1"/>
    <d v="2024-09-29T00:00:00"/>
    <d v="2024-09-29T00:00:00"/>
    <d v="2024-09-29T00:00:00"/>
    <n v="0.95"/>
    <m/>
    <m/>
    <m/>
    <s v="Level Wise"/>
    <n v="3600"/>
    <n v="3600"/>
    <s v="Yes"/>
    <d v="2024-09-21T00:00:00"/>
    <d v="1900-01-03T00:00:00"/>
    <m/>
  </r>
  <r>
    <s v="A037"/>
    <x v="36"/>
    <x v="10"/>
    <s v="A037_Spruha Patil_A04"/>
    <x v="1"/>
    <s v="Runner 2"/>
    <n v="400"/>
    <n v="400"/>
    <d v="2024-10-19T00:00:00"/>
    <d v="2024-10-14T00:00:00"/>
    <d v="2024-10-14T00:00:00"/>
    <x v="5"/>
    <m/>
    <m/>
    <m/>
    <m/>
    <m/>
    <m/>
    <m/>
    <s v="Level Wise"/>
    <n v="3600"/>
    <n v="1800"/>
    <s v="NO"/>
    <d v="2024-11-19T00:00:00"/>
    <m/>
    <m/>
  </r>
  <r>
    <s v="A038"/>
    <x v="37"/>
    <x v="2"/>
    <s v="A038_Aaradhya _A08"/>
    <x v="1"/>
    <s v="Sprinter Level-1"/>
    <n v="600"/>
    <n v="600"/>
    <d v="2024-06-17T00:00:00"/>
    <d v="2024-06-17T00:00:00"/>
    <d v="2024-06-12T00:00:00"/>
    <x v="8"/>
    <m/>
    <m/>
    <m/>
    <m/>
    <m/>
    <m/>
    <m/>
    <s v="Monthly"/>
    <n v="3600"/>
    <n v="4800"/>
    <s v="Yes"/>
    <d v="2024-12-16T00:00:00"/>
    <n v="4"/>
    <m/>
  </r>
  <r>
    <s v="A039"/>
    <x v="38"/>
    <x v="12"/>
    <s v="A039_Prisha Shah_A02"/>
    <x v="1"/>
    <s v="Sr.KG "/>
    <n v="1600"/>
    <n v="1600"/>
    <d v="2024-06-12T00:00:00"/>
    <d v="2024-06-18T00:00:00"/>
    <d v="2024-06-13T00:00:00"/>
    <x v="13"/>
    <m/>
    <m/>
    <m/>
    <m/>
    <m/>
    <m/>
    <m/>
    <s v="Level Wise"/>
    <n v="3000"/>
    <n v="3000"/>
    <s v="Yes"/>
    <d v="2024-07-06T00:00:00"/>
    <m/>
    <m/>
  </r>
  <r>
    <s v="A040"/>
    <x v="39"/>
    <x v="1"/>
    <s v="A040_Arnav Sachin Patil_A03"/>
    <x v="0"/>
    <s v="Runner-1"/>
    <n v="1600"/>
    <n v="1600"/>
    <d v="2024-06-23T00:00:00"/>
    <d v="2024-06-28T00:00:00"/>
    <d v="2024-06-24T00:00:00"/>
    <x v="1"/>
    <d v="2024-10-04T00:00:00"/>
    <d v="2024-10-04T00:00:00"/>
    <d v="2024-10-04T00:00:00"/>
    <n v="0.93"/>
    <m/>
    <m/>
    <m/>
    <s v="Monthly"/>
    <n v="3600"/>
    <n v="3600"/>
    <s v="Yes"/>
    <d v="2024-09-24T00:00:00"/>
    <n v="3"/>
    <m/>
  </r>
  <r>
    <s v="A040"/>
    <x v="39"/>
    <x v="10"/>
    <s v="A040_Arnav Sachin Patil_A04"/>
    <x v="1"/>
    <s v="Runner-2"/>
    <n v="400"/>
    <n v="400"/>
    <d v="2024-10-05T00:00:00"/>
    <d v="2024-10-04T00:00:00"/>
    <d v="2024-10-07T00:00:00"/>
    <x v="1"/>
    <m/>
    <m/>
    <m/>
    <m/>
    <m/>
    <m/>
    <m/>
    <s v="Monthly"/>
    <n v="3600"/>
    <n v="3600"/>
    <s v="NO"/>
    <d v="2025-01-01T00:00:00"/>
    <n v="3"/>
    <m/>
  </r>
  <r>
    <s v="A041"/>
    <x v="40"/>
    <x v="12"/>
    <s v="A041_Avyaan Chaumal_A02"/>
    <x v="0"/>
    <s v="Sr.KG"/>
    <n v="1600"/>
    <n v="1600"/>
    <d v="2024-06-23T00:00:00"/>
    <d v="2024-06-24T00:00:00"/>
    <d v="2024-06-24T00:00:00"/>
    <x v="13"/>
    <d v="2024-10-28T00:00:00"/>
    <d v="2024-10-28T00:00:00"/>
    <d v="2024-10-28T00:00:00"/>
    <n v="1"/>
    <m/>
    <m/>
    <m/>
    <s v="Monthly"/>
    <n v="3600"/>
    <n v="3600"/>
    <s v="Yes"/>
    <d v="2024-10-06T00:00:00"/>
    <n v="3"/>
    <m/>
  </r>
  <r>
    <s v="A041"/>
    <x v="40"/>
    <x v="1"/>
    <s v="A041_Avyaan Chaumal_A03"/>
    <x v="1"/>
    <s v="Runner 1"/>
    <n v="400"/>
    <n v="400"/>
    <d v="2024-11-30T00:00:00"/>
    <d v="2024-11-29T00:00:00"/>
    <d v="2024-11-20T00:00:00"/>
    <x v="7"/>
    <m/>
    <m/>
    <m/>
    <m/>
    <m/>
    <m/>
    <m/>
    <s v="Monthly "/>
    <n v="3600"/>
    <n v="1200"/>
    <s v="Yes "/>
    <d v="2024-11-29T00:00:00"/>
    <n v="1"/>
    <m/>
  </r>
  <r>
    <s v="A042"/>
    <x v="41"/>
    <x v="12"/>
    <s v="A042_Ishanvi Bhatt_A02"/>
    <x v="0"/>
    <s v="Sr.KG"/>
    <n v="1600"/>
    <n v="1600"/>
    <d v="2024-07-02T00:00:00"/>
    <d v="2024-07-02T00:00:00"/>
    <d v="2024-06-27T00:00:00"/>
    <x v="13"/>
    <d v="2024-11-20T00:00:00"/>
    <d v="2024-11-20T00:00:00"/>
    <d v="2024-11-20T00:00:00"/>
    <n v="0.92"/>
    <m/>
    <m/>
    <m/>
    <s v="Monthly"/>
    <n v="6000"/>
    <n v="4800"/>
    <s v="Yes"/>
    <d v="2024-10-25T00:00:00"/>
    <n v="4"/>
    <m/>
  </r>
  <r>
    <s v="A042"/>
    <x v="41"/>
    <x v="1"/>
    <s v="A042_Ishanvi Bhatt_A03"/>
    <x v="1"/>
    <s v="Runner 1"/>
    <n v="400"/>
    <n v="400"/>
    <d v="2024-11-29T00:00:00"/>
    <d v="2024-11-27T00:00:00"/>
    <d v="2024-11-27T00:00:00"/>
    <x v="13"/>
    <m/>
    <m/>
    <m/>
    <m/>
    <m/>
    <m/>
    <m/>
    <s v="Monthly"/>
    <n v="3600"/>
    <n v="1200"/>
    <s v="NO"/>
    <d v="2024-11-29T00:00:00"/>
    <n v="1"/>
    <m/>
  </r>
  <r>
    <s v="A043"/>
    <x v="42"/>
    <x v="12"/>
    <s v="A043_Divisha Vyawahare_A02"/>
    <x v="0"/>
    <s v="Sr.KG"/>
    <n v="1600"/>
    <n v="1600"/>
    <d v="2024-07-05T00:00:00"/>
    <d v="2024-07-10T00:00:00"/>
    <d v="2024-07-02T00:00:00"/>
    <x v="13"/>
    <d v="2024-11-15T00:00:00"/>
    <d v="2024-11-15T00:00:00"/>
    <d v="2024-11-15T00:00:00"/>
    <n v="1"/>
    <m/>
    <m/>
    <m/>
    <s v="Monthly"/>
    <n v="3600"/>
    <n v="4800"/>
    <s v="Yes"/>
    <d v="2024-10-04T00:00:00"/>
    <n v="4"/>
    <m/>
  </r>
  <r>
    <s v="A043"/>
    <x v="42"/>
    <x v="1"/>
    <s v="A043_Divisha Vyawahare_A03"/>
    <x v="1"/>
    <s v="Runner-1"/>
    <n v="400"/>
    <n v="400"/>
    <d v="2024-11-22T00:00:00"/>
    <d v="2024-11-20T00:00:00"/>
    <d v="2024-11-20T00:00:00"/>
    <x v="13"/>
    <m/>
    <m/>
    <m/>
    <m/>
    <m/>
    <m/>
    <m/>
    <s v="Monthly"/>
    <n v="3600"/>
    <n v="3600"/>
    <s v="NO"/>
    <d v="2025-01-05T00:00:00"/>
    <n v="3"/>
    <m/>
  </r>
  <r>
    <s v="A044"/>
    <x v="43"/>
    <x v="0"/>
    <s v="A044_Paridhi Agarwal_A01"/>
    <x v="0"/>
    <s v="Jr.KG"/>
    <n v="1600"/>
    <n v="1600"/>
    <d v="2024-07-18T00:00:00"/>
    <d v="2024-07-19T00:00:00"/>
    <d v="2024-07-17T00:00:00"/>
    <x v="13"/>
    <d v="2024-12-08T00:00:00"/>
    <d v="2024-12-08T00:00:00"/>
    <d v="2024-12-08T00:00:00"/>
    <n v="1"/>
    <m/>
    <m/>
    <m/>
    <s v="Monthly"/>
    <n v="3600"/>
    <n v="4800"/>
    <s v="Yes"/>
    <d v="2024-12-09T00:00:00"/>
    <n v="3"/>
    <m/>
  </r>
  <r>
    <s v="A044"/>
    <x v="43"/>
    <x v="12"/>
    <s v="A044_Paridhi Agarwal_A02"/>
    <x v="1"/>
    <s v="Sr.KG"/>
    <n v="400"/>
    <n v="400"/>
    <d v="2024-12-12T00:00:00"/>
    <d v="2024-12-19T00:00:00"/>
    <d v="2024-12-11T00:00:00"/>
    <x v="2"/>
    <m/>
    <m/>
    <m/>
    <m/>
    <m/>
    <m/>
    <m/>
    <s v="Monthly"/>
    <n v="3600"/>
    <m/>
    <m/>
    <m/>
    <m/>
    <m/>
  </r>
  <r>
    <s v="A045"/>
    <x v="44"/>
    <x v="12"/>
    <s v="A045_Navya Thakkar_A02"/>
    <x v="0"/>
    <s v="Sr.KG"/>
    <n v="1600"/>
    <n v="1600"/>
    <d v="2024-07-30T00:00:00"/>
    <d v="2024-07-23T00:00:00"/>
    <d v="2024-07-18T00:00:00"/>
    <x v="2"/>
    <d v="2024-11-07T00:00:00"/>
    <d v="2024-11-07T00:00:00"/>
    <d v="2024-11-07T00:00:00"/>
    <n v="0.96"/>
    <m/>
    <m/>
    <m/>
    <s v="Monthly"/>
    <n v="3600"/>
    <n v="3600"/>
    <s v="Yes"/>
    <d v="2024-10-01T00:00:00"/>
    <n v="3"/>
    <m/>
  </r>
  <r>
    <s v="A045"/>
    <x v="44"/>
    <x v="1"/>
    <s v="A045_Navya Thakkar_A03"/>
    <x v="1"/>
    <s v="Runner-1"/>
    <n v="400"/>
    <n v="400"/>
    <d v="2024-11-16T00:00:00"/>
    <d v="2024-11-12T00:00:00"/>
    <d v="2024-11-12T00:00:00"/>
    <x v="2"/>
    <m/>
    <m/>
    <m/>
    <m/>
    <m/>
    <m/>
    <m/>
    <s v="Monthly"/>
    <n v="3600"/>
    <n v="2400"/>
    <s v="NO"/>
    <d v="2024-12-19T00:00:00"/>
    <n v="2"/>
    <m/>
  </r>
  <r>
    <s v="A046"/>
    <x v="45"/>
    <x v="1"/>
    <s v="A046_Shridnyesh Aher_A03"/>
    <x v="1"/>
    <s v="Runner 1"/>
    <n v="1600"/>
    <n v="1600"/>
    <d v="2024-08-05T00:00:00"/>
    <d v="2024-08-05T00:00:00"/>
    <d v="2024-08-05T00:00:00"/>
    <x v="5"/>
    <m/>
    <m/>
    <m/>
    <m/>
    <m/>
    <m/>
    <m/>
    <s v="Monthly"/>
    <n v="3600"/>
    <n v="7200"/>
    <s v="Yes"/>
    <d v="2025-01-02T00:00:00"/>
    <n v="5"/>
    <m/>
  </r>
  <r>
    <s v="A047"/>
    <x v="46"/>
    <x v="12"/>
    <s v="A047_Arnish Jhamtani_A02"/>
    <x v="0"/>
    <s v="Sr.KG"/>
    <n v="1600"/>
    <n v="1600"/>
    <d v="2024-08-04T00:00:00"/>
    <d v="2024-08-15T00:00:00"/>
    <d v="2024-08-15T00:00:00"/>
    <x v="5"/>
    <d v="2024-10-26T00:00:00"/>
    <d v="2024-10-26T00:00:00"/>
    <d v="2024-10-26T00:00:00"/>
    <n v="1"/>
    <m/>
    <m/>
    <m/>
    <s v="Level Wise"/>
    <n v="3600"/>
    <n v="3600"/>
    <s v="Yes"/>
    <d v="2024-08-24T00:00:00"/>
    <n v="3"/>
    <m/>
  </r>
  <r>
    <s v="A047"/>
    <x v="46"/>
    <x v="1"/>
    <s v="A047_Arnish Jhamtani_A03"/>
    <x v="1"/>
    <s v="Runner 1"/>
    <n v="400"/>
    <n v="400"/>
    <d v="2024-11-20T00:00:00"/>
    <d v="2024-10-26T00:00:00"/>
    <d v="2024-10-26T00:00:00"/>
    <x v="1"/>
    <m/>
    <m/>
    <m/>
    <m/>
    <m/>
    <m/>
    <m/>
    <s v="Level Wise"/>
    <n v="3600"/>
    <n v="3600"/>
    <s v="Yes"/>
    <d v="2024-11-20T00:00:00"/>
    <m/>
    <m/>
  </r>
  <r>
    <s v="A048"/>
    <x v="47"/>
    <x v="1"/>
    <s v="A048_Vedant Kumar_A03"/>
    <x v="1"/>
    <s v="Runner-1"/>
    <n v="1600"/>
    <n v="1600"/>
    <d v="2024-08-05T00:00:00"/>
    <d v="2024-08-15T00:00:00"/>
    <d v="2024-08-15T00:00:00"/>
    <x v="1"/>
    <m/>
    <m/>
    <m/>
    <m/>
    <m/>
    <m/>
    <m/>
    <s v="Monthly"/>
    <n v="3600"/>
    <n v="6000"/>
    <s v="Yes"/>
    <d v="2025-01-05T00:00:00"/>
    <n v="5"/>
    <m/>
  </r>
  <r>
    <s v="A049"/>
    <x v="48"/>
    <x v="1"/>
    <s v="A049_Archit Shette_A03"/>
    <x v="1"/>
    <s v="Runner 1"/>
    <n v="1600"/>
    <n v="1600"/>
    <d v="2024-08-25T00:00:00"/>
    <d v="2024-08-27T00:00:00"/>
    <d v="2024-08-27T00:00:00"/>
    <x v="2"/>
    <m/>
    <m/>
    <m/>
    <m/>
    <m/>
    <m/>
    <m/>
    <s v="Monthly"/>
    <n v="3600"/>
    <n v="2400"/>
    <s v="Y"/>
    <d v="2024-10-06T00:00:00"/>
    <n v="2"/>
    <m/>
  </r>
  <r>
    <s v="A050"/>
    <x v="49"/>
    <x v="1"/>
    <s v="A050_Arnav Pol_A03"/>
    <x v="1"/>
    <s v="Runner-1"/>
    <n v="900"/>
    <n v="900"/>
    <d v="2024-09-11T00:00:00"/>
    <d v="2024-08-31T00:00:00"/>
    <d v="2024-08-31T00:00:00"/>
    <x v="10"/>
    <m/>
    <m/>
    <m/>
    <m/>
    <m/>
    <m/>
    <m/>
    <s v="Monthly"/>
    <n v="4800"/>
    <n v="3600"/>
    <s v="NO"/>
    <d v="2024-11-08T00:00:00"/>
    <n v="1"/>
    <m/>
  </r>
  <r>
    <s v="A051"/>
    <x v="50"/>
    <x v="10"/>
    <s v="A051_Mahir Gandhi_A04"/>
    <x v="1"/>
    <s v="Runner-2"/>
    <n v="800"/>
    <n v="800"/>
    <d v="2024-09-11T00:00:00"/>
    <d v="2024-09-16T00:00:00"/>
    <d v="2024-09-11T00:00:00"/>
    <x v="8"/>
    <m/>
    <m/>
    <m/>
    <m/>
    <m/>
    <m/>
    <m/>
    <s v="Monthly"/>
    <n v="3600"/>
    <n v="2400"/>
    <s v="NO"/>
    <d v="2024-12-04T00:00:00"/>
    <n v="2"/>
    <m/>
  </r>
  <r>
    <s v="A052"/>
    <x v="51"/>
    <x v="1"/>
    <s v="A052_Vivaan Garg_A03"/>
    <x v="1"/>
    <s v="Runner 1"/>
    <n v="1600"/>
    <n v="1600"/>
    <d v="2024-09-09T00:00:00"/>
    <d v="2024-09-15T00:00:00"/>
    <d v="2024-09-15T00:00:00"/>
    <x v="10"/>
    <m/>
    <m/>
    <m/>
    <m/>
    <m/>
    <m/>
    <m/>
    <s v="Monthly"/>
    <n v="3600"/>
    <n v="3600"/>
    <s v="NO"/>
    <d v="2025-01-02T00:00:00"/>
    <n v="3"/>
    <m/>
  </r>
  <r>
    <s v="A053"/>
    <x v="52"/>
    <x v="1"/>
    <s v="A053_Jaanvi Nitin Khandagale_A03"/>
    <x v="1"/>
    <s v="Runner 1"/>
    <n v="1600"/>
    <n v="1600"/>
    <d v="2024-09-22T00:00:00"/>
    <d v="2024-09-22T00:00:00"/>
    <d v="2024-09-22T00:00:00"/>
    <x v="10"/>
    <m/>
    <m/>
    <m/>
    <m/>
    <m/>
    <m/>
    <m/>
    <s v="Monthly "/>
    <n v="4800"/>
    <n v="4800"/>
    <s v="NO"/>
    <d v="2024-12-01T00:00:00"/>
    <n v="4"/>
    <m/>
  </r>
  <r>
    <s v="A054"/>
    <x v="53"/>
    <x v="0"/>
    <s v="A054_Rumi Pandita_A01"/>
    <x v="1"/>
    <s v="Jr.KG"/>
    <n v="1600"/>
    <n v="1600"/>
    <d v="2024-10-11T00:00:00"/>
    <d v="2024-10-12T00:00:00"/>
    <d v="2024-09-27T00:00:00"/>
    <x v="10"/>
    <m/>
    <m/>
    <m/>
    <m/>
    <m/>
    <m/>
    <m/>
    <s v="Monthly "/>
    <n v="3600"/>
    <n v="3600"/>
    <s v="NO"/>
    <d v="2024-12-31T00:00:00"/>
    <n v="3"/>
    <m/>
  </r>
  <r>
    <s v="A055"/>
    <x v="54"/>
    <x v="12"/>
    <s v="A055_Yugansh Pawar_A02"/>
    <x v="1"/>
    <s v="Sr.KG."/>
    <n v="600"/>
    <n v="600"/>
    <d v="2024-10-02T00:00:00"/>
    <d v="2024-10-09T00:00:00"/>
    <d v="2024-10-02T00:00:00"/>
    <x v="13"/>
    <m/>
    <m/>
    <m/>
    <m/>
    <m/>
    <m/>
    <m/>
    <s v="Level Wise"/>
    <n v="3000"/>
    <m/>
    <s v="NO"/>
    <m/>
    <m/>
    <m/>
  </r>
  <r>
    <s v="A056"/>
    <x v="55"/>
    <x v="12"/>
    <s v="A056_Hridhaan Bagla_A02"/>
    <x v="1"/>
    <s v="Sr.KG"/>
    <n v="600"/>
    <n v="600"/>
    <d v="2024-10-16T00:00:00"/>
    <d v="2024-10-18T00:00:00"/>
    <d v="2024-10-18T00:00:00"/>
    <x v="13"/>
    <m/>
    <m/>
    <m/>
    <m/>
    <m/>
    <m/>
    <m/>
    <s v="Monthly"/>
    <n v="3600"/>
    <n v="2400"/>
    <s v="NO"/>
    <d v="2024-12-19T00:00:00"/>
    <n v="2"/>
    <m/>
  </r>
  <r>
    <s v="A057"/>
    <x v="56"/>
    <x v="1"/>
    <s v="A057_Tanvi Naik_A03"/>
    <x v="1"/>
    <s v="Runner-1"/>
    <n v="1600"/>
    <n v="1600"/>
    <d v="2024-11-10T00:00:00"/>
    <d v="2024-11-12T00:00:00"/>
    <d v="2024-11-12T00:00:00"/>
    <x v="2"/>
    <m/>
    <m/>
    <m/>
    <m/>
    <m/>
    <m/>
    <m/>
    <s v="Monthly"/>
    <n v="3600"/>
    <n v="1200"/>
    <s v="NO"/>
    <d v="2024-11-24T00:00:00"/>
    <n v="1"/>
    <m/>
  </r>
  <r>
    <s v="A058"/>
    <x v="57"/>
    <x v="1"/>
    <s v="A058_Advik  Khadelwal_A03"/>
    <x v="1"/>
    <s v="Runner 1"/>
    <n v="1600"/>
    <n v="1600"/>
    <d v="2024-11-20T00:00:00"/>
    <d v="2024-11-20T00:00:00"/>
    <d v="2024-11-20T00:00:00"/>
    <x v="8"/>
    <m/>
    <m/>
    <m/>
    <m/>
    <m/>
    <m/>
    <m/>
    <s v="Monthly"/>
    <n v="3600"/>
    <n v="1200"/>
    <s v="NO"/>
    <d v="2024-12-18T00:00:00"/>
    <n v="1"/>
    <m/>
  </r>
  <r>
    <s v="A059"/>
    <x v="58"/>
    <x v="12"/>
    <s v="A059_Prisha Deshmukh_A02"/>
    <x v="1"/>
    <s v="Sr.KG."/>
    <n v="600"/>
    <n v="600"/>
    <d v="2024-11-20T00:00:00"/>
    <d v="2024-11-20T00:00:00"/>
    <d v="2024-11-19T00:00:00"/>
    <x v="11"/>
    <m/>
    <m/>
    <m/>
    <m/>
    <m/>
    <m/>
    <m/>
    <s v="Monthly"/>
    <n v="2500"/>
    <m/>
    <m/>
    <m/>
    <m/>
    <m/>
  </r>
  <r>
    <s v="A060"/>
    <x v="59"/>
    <x v="12"/>
    <s v="A060_Riaan Deshmukh_A02"/>
    <x v="1"/>
    <s v="Sr.KG."/>
    <n v="600"/>
    <n v="600"/>
    <d v="2024-11-20T00:00:00"/>
    <d v="2024-11-20T00:00:00"/>
    <d v="2024-11-19T00:00:00"/>
    <x v="11"/>
    <m/>
    <m/>
    <m/>
    <m/>
    <m/>
    <m/>
    <m/>
    <s v="Monthly"/>
    <n v="2500"/>
    <m/>
    <m/>
    <m/>
    <m/>
    <m/>
  </r>
  <r>
    <s v="A061"/>
    <x v="60"/>
    <x v="1"/>
    <s v="A061_Kaira Sharma_A03"/>
    <x v="1"/>
    <s v="Runner-1"/>
    <n v="1600"/>
    <n v="1600"/>
    <d v="2024-12-03T00:00:00"/>
    <d v="2024-12-08T00:00:00"/>
    <d v="2024-12-01T00:00:00"/>
    <x v="10"/>
    <m/>
    <m/>
    <m/>
    <m/>
    <m/>
    <m/>
    <m/>
    <s v="Monthly"/>
    <n v="3600"/>
    <n v="1200"/>
    <s v="NO"/>
    <d v="2025-01-01T00:00:00"/>
    <n v="1"/>
    <m/>
  </r>
  <r>
    <s v="A062"/>
    <x v="61"/>
    <x v="1"/>
    <s v="A062_Kabir  Kherajani_A03"/>
    <x v="1"/>
    <s v="Runner-1"/>
    <n v="400"/>
    <n v="400"/>
    <d v="2024-12-09T00:00:00"/>
    <d v="2024-12-09T00:00:00"/>
    <d v="2024-12-02T00:00:00"/>
    <x v="8"/>
    <m/>
    <m/>
    <m/>
    <m/>
    <m/>
    <m/>
    <m/>
    <s v="Monthly "/>
    <n v="3600"/>
    <n v="1200"/>
    <s v="NO"/>
    <d v="2024-12-09T00:00:00"/>
    <n v="1"/>
    <m/>
  </r>
  <r>
    <s v="A063"/>
    <x v="62"/>
    <x v="1"/>
    <s v="A063_Nivaan Keswani_A03"/>
    <x v="1"/>
    <s v="Runner-1"/>
    <n v="400"/>
    <n v="400"/>
    <d v="2024-12-09T00:00:00"/>
    <d v="2024-12-09T00:00:00"/>
    <d v="2024-12-04T00:00:00"/>
    <x v="8"/>
    <m/>
    <m/>
    <m/>
    <m/>
    <m/>
    <m/>
    <m/>
    <s v="Monthly"/>
    <n v="3600"/>
    <n v="1200"/>
    <s v="NO"/>
    <d v="2024-12-09T00:00:00"/>
    <n v="1"/>
    <m/>
  </r>
  <r>
    <s v="A064"/>
    <x v="63"/>
    <x v="1"/>
    <s v="A064_Samyak Bora_A03"/>
    <x v="1"/>
    <s v="Runner-1"/>
    <n v="600"/>
    <n v="600"/>
    <d v="2024-12-10T00:00:00"/>
    <d v="2024-12-09T00:00:00"/>
    <d v="2024-12-03T00:00:00"/>
    <x v="14"/>
    <m/>
    <m/>
    <m/>
    <m/>
    <m/>
    <m/>
    <m/>
    <s v="Level Wise"/>
    <n v="3600"/>
    <m/>
    <s v="NO"/>
    <m/>
    <m/>
    <m/>
  </r>
  <r>
    <s v="A065"/>
    <x v="64"/>
    <x v="1"/>
    <s v="A065_Satvika Yadav_A03"/>
    <x v="1"/>
    <s v="Runner-1"/>
    <n v="600"/>
    <n v="600"/>
    <d v="2024-12-11T00:00:00"/>
    <d v="2024-12-12T00:00:00"/>
    <d v="2024-12-01T00:00:00"/>
    <x v="2"/>
    <m/>
    <m/>
    <m/>
    <m/>
    <m/>
    <m/>
    <m/>
    <s v="Level Wise"/>
    <n v="3600"/>
    <n v="3600"/>
    <s v="Yes"/>
    <d v="2024-12-11T00:00:00"/>
    <m/>
    <m/>
  </r>
  <r>
    <m/>
    <x v="65"/>
    <x v="15"/>
    <s v="__"/>
    <x v="4"/>
    <m/>
    <m/>
    <m/>
    <m/>
    <m/>
    <m/>
    <x v="7"/>
    <m/>
    <m/>
    <m/>
    <m/>
    <m/>
    <m/>
    <m/>
    <m/>
    <m/>
    <m/>
    <m/>
    <m/>
    <m/>
    <m/>
  </r>
  <r>
    <m/>
    <x v="65"/>
    <x v="15"/>
    <s v="__"/>
    <x v="4"/>
    <m/>
    <m/>
    <m/>
    <m/>
    <m/>
    <m/>
    <x v="7"/>
    <m/>
    <m/>
    <m/>
    <m/>
    <m/>
    <m/>
    <m/>
    <m/>
    <m/>
    <m/>
    <m/>
    <m/>
    <m/>
    <m/>
  </r>
  <r>
    <m/>
    <x v="65"/>
    <x v="15"/>
    <s v="__"/>
    <x v="4"/>
    <m/>
    <m/>
    <m/>
    <m/>
    <m/>
    <m/>
    <x v="7"/>
    <m/>
    <m/>
    <m/>
    <m/>
    <m/>
    <m/>
    <m/>
    <m/>
    <m/>
    <m/>
    <m/>
    <m/>
    <m/>
    <m/>
  </r>
  <r>
    <m/>
    <x v="65"/>
    <x v="15"/>
    <m/>
    <x v="4"/>
    <m/>
    <m/>
    <m/>
    <m/>
    <m/>
    <m/>
    <x v="7"/>
    <m/>
    <m/>
    <m/>
    <m/>
    <m/>
    <m/>
    <m/>
    <m/>
    <m/>
    <m/>
    <m/>
    <m/>
    <m/>
    <m/>
  </r>
  <r>
    <m/>
    <x v="65"/>
    <x v="15"/>
    <m/>
    <x v="4"/>
    <m/>
    <m/>
    <m/>
    <m/>
    <m/>
    <m/>
    <x v="7"/>
    <m/>
    <m/>
    <m/>
    <m/>
    <m/>
    <m/>
    <m/>
    <m/>
    <m/>
    <m/>
    <m/>
    <m/>
    <m/>
    <m/>
  </r>
  <r>
    <m/>
    <x v="65"/>
    <x v="15"/>
    <m/>
    <x v="4"/>
    <m/>
    <m/>
    <m/>
    <m/>
    <m/>
    <m/>
    <x v="7"/>
    <m/>
    <m/>
    <m/>
    <m/>
    <m/>
    <m/>
    <m/>
    <m/>
    <m/>
    <m/>
    <m/>
    <m/>
    <m/>
    <m/>
  </r>
  <r>
    <m/>
    <x v="65"/>
    <x v="15"/>
    <m/>
    <x v="4"/>
    <m/>
    <m/>
    <m/>
    <m/>
    <m/>
    <m/>
    <x v="7"/>
    <m/>
    <m/>
    <m/>
    <m/>
    <m/>
    <m/>
    <m/>
    <m/>
    <m/>
    <m/>
    <m/>
    <m/>
    <m/>
    <m/>
  </r>
  <r>
    <m/>
    <x v="65"/>
    <x v="15"/>
    <m/>
    <x v="4"/>
    <m/>
    <m/>
    <m/>
    <m/>
    <m/>
    <m/>
    <x v="7"/>
    <m/>
    <m/>
    <m/>
    <m/>
    <m/>
    <m/>
    <m/>
    <m/>
    <m/>
    <m/>
    <m/>
    <m/>
    <m/>
    <m/>
  </r>
  <r>
    <m/>
    <x v="65"/>
    <x v="15"/>
    <m/>
    <x v="4"/>
    <m/>
    <m/>
    <m/>
    <m/>
    <m/>
    <m/>
    <x v="7"/>
    <m/>
    <m/>
    <m/>
    <m/>
    <m/>
    <m/>
    <m/>
    <m/>
    <m/>
    <m/>
    <m/>
    <m/>
    <m/>
    <m/>
  </r>
  <r>
    <m/>
    <x v="65"/>
    <x v="15"/>
    <m/>
    <x v="4"/>
    <m/>
    <m/>
    <m/>
    <m/>
    <m/>
    <m/>
    <x v="7"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">
  <r>
    <n v="1"/>
    <s v="A001"/>
    <x v="0"/>
    <s v="A01"/>
    <s v="A001_Aaditya Patil_A01"/>
    <x v="0"/>
    <s v="Jr.KG"/>
    <n v="1650"/>
    <n v="1650"/>
    <d v="2022-10-07T00:00:00"/>
    <d v="2022-10-07T00:00:00"/>
    <d v="2022-10-07T00:00:00"/>
    <s v="O-M-F-3-4"/>
    <d v="2023-01-02T00:00:00"/>
    <n v="2.9"/>
    <n v="24"/>
    <m/>
    <m/>
    <m/>
    <m/>
    <m/>
    <m/>
    <s v="1st Free"/>
    <n v="0"/>
    <n v="0"/>
    <s v="NA"/>
    <s v="NA"/>
    <m/>
    <m/>
  </r>
  <r>
    <n v="2"/>
    <s v="A001"/>
    <x v="0"/>
    <s v="A03"/>
    <s v="A001_Aaditya Patil_A03"/>
    <x v="0"/>
    <s v="Runner-1"/>
    <n v="600"/>
    <n v="600"/>
    <d v="2023-01-03T00:00:00"/>
    <d v="2023-01-03T00:00:00"/>
    <d v="2023-01-03T00:00:00"/>
    <s v="O-M-F-3-4"/>
    <d v="2023-04-30T00:00:00"/>
    <n v="3.9"/>
    <n v="32"/>
    <m/>
    <m/>
    <m/>
    <m/>
    <m/>
    <m/>
    <s v="Always Free"/>
    <n v="0"/>
    <n v="0"/>
    <s v="NA"/>
    <m/>
    <m/>
    <m/>
  </r>
  <r>
    <n v="3"/>
    <s v="A002"/>
    <x v="1"/>
    <s v="A01"/>
    <s v="A002_Tanush Thosare_A01"/>
    <x v="0"/>
    <s v="Jr.KG"/>
    <n v="1600"/>
    <n v="1600"/>
    <d v="2022-10-07T00:00:00"/>
    <d v="2022-10-07T00:00:00"/>
    <d v="2022-10-07T00:00:00"/>
    <s v="O-M-F-3-4"/>
    <d v="2023-01-01T00:00:00"/>
    <n v="2.8666666666666667"/>
    <n v="23"/>
    <m/>
    <m/>
    <m/>
    <m/>
    <m/>
    <m/>
    <s v="1st Special Fee"/>
    <n v="2500"/>
    <n v="2500"/>
    <s v="Yes"/>
    <d v="2023-01-01T00:00:00"/>
    <m/>
    <m/>
  </r>
  <r>
    <n v="4"/>
    <s v="A002"/>
    <x v="1"/>
    <s v="A03"/>
    <s v="A002_Tanush Thosare_A03"/>
    <x v="0"/>
    <s v="Runner-1"/>
    <n v="600"/>
    <n v="600"/>
    <d v="2023-01-03T00:00:00"/>
    <d v="2023-01-03T00:00:00"/>
    <d v="2023-01-03T00:00:00"/>
    <s v="O-M-F-3-4"/>
    <d v="2023-04-24T00:00:00"/>
    <n v="3.7"/>
    <n v="30"/>
    <m/>
    <m/>
    <m/>
    <m/>
    <m/>
    <m/>
    <s v="Level Wise"/>
    <n v="3600"/>
    <n v="3600"/>
    <s v="Yes"/>
    <d v="2023-04-24T00:00:00"/>
    <m/>
    <m/>
  </r>
  <r>
    <n v="5"/>
    <s v="A003"/>
    <x v="2"/>
    <s v="A08"/>
    <s v="A003_Prathmesh Zope_A08"/>
    <x v="0"/>
    <s v="Sprinter Level-1"/>
    <n v="1600"/>
    <n v="1600"/>
    <d v="2022-11-03T00:00:00"/>
    <d v="2022-11-03T00:00:00"/>
    <d v="2022-11-05T00:00:00"/>
    <s v="M-F-7-8"/>
    <d v="2023-04-18T00:00:00"/>
    <n v="5.4666666666666668"/>
    <n v="44"/>
    <m/>
    <m/>
    <m/>
    <m/>
    <m/>
    <m/>
    <s v="Level Wise"/>
    <n v="3600"/>
    <n v="3600"/>
    <s v="Yes"/>
    <d v="2022-11-03T00:00:00"/>
    <m/>
    <m/>
  </r>
  <r>
    <n v="6"/>
    <s v="A003"/>
    <x v="2"/>
    <s v="A09"/>
    <s v="A003_Prathmesh Zope_A09"/>
    <x v="0"/>
    <s v="Sprinter Level-2"/>
    <n v="400"/>
    <n v="400"/>
    <d v="2023-04-18T00:00:00"/>
    <d v="2023-04-18T00:00:00"/>
    <d v="2023-04-18T00:00:00"/>
    <s v="M-F-7-8"/>
    <d v="2023-07-14T00:00:00"/>
    <n v="2.9"/>
    <n v="24"/>
    <m/>
    <m/>
    <m/>
    <m/>
    <m/>
    <m/>
    <s v="Level Wise"/>
    <n v="3600"/>
    <n v="3600"/>
    <s v="Yes"/>
    <d v="2023-04-18T00:00:00"/>
    <m/>
    <m/>
  </r>
  <r>
    <n v="7"/>
    <s v="A003"/>
    <x v="2"/>
    <s v="A10"/>
    <s v="A003_Prathmesh Zope_A10"/>
    <x v="0"/>
    <s v="Sprinter Level-3"/>
    <n v="400"/>
    <n v="400"/>
    <d v="2023-07-17T00:00:00"/>
    <d v="2023-07-14T00:00:00"/>
    <d v="2023-07-14T00:00:00"/>
    <s v="M-F-7-8"/>
    <d v="2023-12-08T00:00:00"/>
    <n v="4.9000000000000004"/>
    <n v="40"/>
    <m/>
    <m/>
    <m/>
    <m/>
    <m/>
    <m/>
    <s v="Level Wise"/>
    <n v="3600"/>
    <n v="3600"/>
    <s v="Yes"/>
    <d v="2023-07-17T00:00:00"/>
    <m/>
    <m/>
  </r>
  <r>
    <n v="8"/>
    <s v="A003"/>
    <x v="2"/>
    <s v="A11"/>
    <s v="A003_Prathmesh Zope_A11"/>
    <x v="0"/>
    <s v="Sprinter Level-4"/>
    <n v="400"/>
    <n v="400"/>
    <d v="2023-12-04T00:00:00"/>
    <d v="2023-12-04T00:00:00"/>
    <d v="2023-12-08T00:00:00"/>
    <s v="M-F-7-8"/>
    <d v="2024-05-25T00:00:00"/>
    <n v="5.6333333333333337"/>
    <n v="46"/>
    <m/>
    <m/>
    <m/>
    <m/>
    <m/>
    <m/>
    <s v="Level Wise"/>
    <n v="3600"/>
    <n v="3600"/>
    <s v="Yes"/>
    <d v="2023-12-04T00:00:00"/>
    <m/>
    <m/>
  </r>
  <r>
    <n v="9"/>
    <s v="A003"/>
    <x v="2"/>
    <s v="A12"/>
    <s v="A003_Prathmesh Zope_A12"/>
    <x v="0"/>
    <s v="Advance Level-1"/>
    <n v="400"/>
    <n v="400"/>
    <d v="2024-06-04T00:00:00"/>
    <d v="2024-06-01T00:00:00"/>
    <d v="2024-06-01T00:00:00"/>
    <s v="M-F-7-8"/>
    <d v="2024-12-03T00:00:00"/>
    <n v="6.166666666666667"/>
    <n v="50"/>
    <d v="2024-12-03T00:00:00"/>
    <d v="2024-12-03T00:00:00"/>
    <n v="0.82"/>
    <s v="yes"/>
    <n v="2"/>
    <s v="Yes"/>
    <s v="Level Wise"/>
    <n v="3600"/>
    <n v="3600"/>
    <s v="Yes"/>
    <d v="2024-07-22T00:00:00"/>
    <m/>
    <m/>
  </r>
  <r>
    <n v="10"/>
    <s v="A003"/>
    <x v="2"/>
    <s v="A13"/>
    <s v="A003_Prathmesh Zope_A13"/>
    <x v="1"/>
    <s v="Advance Level-2"/>
    <n v="400"/>
    <m/>
    <d v="2024-12-06T00:00:00"/>
    <d v="2024-12-06T00:00:00"/>
    <d v="2024-12-06T00:00:00"/>
    <s v="M-F-7-8"/>
    <m/>
    <n v="10.333333333333334"/>
    <n v="83"/>
    <m/>
    <m/>
    <m/>
    <m/>
    <m/>
    <m/>
    <s v="Level Wise"/>
    <n v="3600"/>
    <n v="3600"/>
    <s v="Yes "/>
    <d v="2025-01-29T00:00:00"/>
    <s v="Gpay"/>
    <m/>
  </r>
  <r>
    <n v="11"/>
    <s v="A004"/>
    <x v="3"/>
    <s v="A08"/>
    <s v="A004_Asmi Kshirsagar_A08"/>
    <x v="0"/>
    <s v="Sprinter Level-1"/>
    <n v="1600"/>
    <n v="1600"/>
    <d v="2023-12-03T00:00:00"/>
    <d v="2022-11-03T00:00:00"/>
    <d v="2022-11-05T00:00:00"/>
    <s v="M-F-7-8"/>
    <d v="2023-05-12T00:00:00"/>
    <n v="6.2666666666666666"/>
    <n v="51"/>
    <m/>
    <m/>
    <m/>
    <m/>
    <m/>
    <m/>
    <s v="Level Wise"/>
    <n v="3600"/>
    <n v="3600"/>
    <s v="Yes"/>
    <d v="2023-01-09T00:00:00"/>
    <m/>
    <m/>
  </r>
  <r>
    <n v="12"/>
    <s v="A004"/>
    <x v="3"/>
    <s v="A09"/>
    <s v="A004_Asmi Kshirsagar_A09"/>
    <x v="0"/>
    <s v="Sprinter Level-2"/>
    <n v="400"/>
    <n v="400"/>
    <d v="2023-05-12T00:00:00"/>
    <d v="2023-05-12T00:00:00"/>
    <d v="2023-05-12T00:00:00"/>
    <s v="M-F-7-8"/>
    <d v="2023-08-30T00:00:00"/>
    <n v="3.6666666666666665"/>
    <n v="30"/>
    <m/>
    <m/>
    <m/>
    <m/>
    <m/>
    <m/>
    <s v="Level Wise"/>
    <n v="3600"/>
    <n v="3600"/>
    <s v="Yes"/>
    <d v="2023-05-12T00:00:00"/>
    <m/>
    <m/>
  </r>
  <r>
    <n v="13"/>
    <s v="A004"/>
    <x v="3"/>
    <s v="A10"/>
    <s v="A004_Asmi Kshirsagar_A10"/>
    <x v="0"/>
    <s v="Sprinter Level-3"/>
    <n v="400"/>
    <n v="400"/>
    <d v="2023-09-17T00:00:00"/>
    <d v="2023-09-17T00:00:00"/>
    <d v="2023-09-11T00:00:00"/>
    <s v="M-F-7-8"/>
    <m/>
    <n v="25.4"/>
    <n v="204"/>
    <s v="only exam pending"/>
    <m/>
    <m/>
    <m/>
    <m/>
    <m/>
    <s v="Level Wise"/>
    <n v="3600"/>
    <n v="3600"/>
    <s v="Yes"/>
    <d v="2023-09-17T00:00:00"/>
    <m/>
    <m/>
  </r>
  <r>
    <n v="14"/>
    <s v="A005"/>
    <x v="4"/>
    <s v="V01"/>
    <s v="A005_Yatharth Kaushik_V01"/>
    <x v="0"/>
    <s v="Vedic Level-1"/>
    <n v="1600"/>
    <n v="1600"/>
    <d v="2022-12-02T00:00:00"/>
    <d v="2022-12-02T00:00:00"/>
    <d v="2022-11-24T00:00:00"/>
    <s v="T-T-6-7"/>
    <d v="2023-02-28T00:00:00"/>
    <n v="3.2"/>
    <n v="26"/>
    <m/>
    <m/>
    <m/>
    <m/>
    <m/>
    <m/>
    <s v="Level Wise"/>
    <n v="3600"/>
    <n v="3600"/>
    <s v="Yes"/>
    <d v="2023-02-28T00:00:00"/>
    <m/>
    <m/>
  </r>
  <r>
    <n v="15"/>
    <s v="A005"/>
    <x v="4"/>
    <s v="V02"/>
    <s v="A005_Yatharth Kaushik_V02"/>
    <x v="0"/>
    <s v="Vedic Level-2"/>
    <n v="600"/>
    <n v="600"/>
    <d v="2023-03-15T00:00:00"/>
    <d v="2023-03-05T00:00:00"/>
    <d v="2023-03-05T00:00:00"/>
    <s v="T-T-6-7"/>
    <d v="2023-05-30T00:00:00"/>
    <n v="2.8666666666666667"/>
    <n v="23"/>
    <m/>
    <m/>
    <m/>
    <m/>
    <m/>
    <m/>
    <s v="Level Wise"/>
    <n v="3600"/>
    <n v="3600"/>
    <s v="Yes"/>
    <d v="2023-05-02T00:00:00"/>
    <m/>
    <m/>
  </r>
  <r>
    <n v="16"/>
    <s v="A006"/>
    <x v="5"/>
    <s v="A03"/>
    <s v="A006_Kushal Patil_A03"/>
    <x v="0"/>
    <s v="Runner-1"/>
    <n v="1600"/>
    <n v="1600"/>
    <d v="2022-11-27T00:00:00"/>
    <d v="2022-11-27T00:00:00"/>
    <d v="2022-11-27T00:00:00"/>
    <s v="O-T-T-5-6"/>
    <d v="2023-02-12T00:00:00"/>
    <n v="2.5666666666666669"/>
    <n v="21"/>
    <m/>
    <m/>
    <m/>
    <m/>
    <m/>
    <m/>
    <s v="Level Wise"/>
    <n v="3600"/>
    <n v="3600"/>
    <s v="Yes"/>
    <d v="2023-02-12T00:00:00"/>
    <m/>
    <m/>
  </r>
  <r>
    <n v="17"/>
    <s v="A006"/>
    <x v="5"/>
    <s v="A04"/>
    <s v="A006_Kushal Patil_A04"/>
    <x v="0"/>
    <s v="Runner-2"/>
    <n v="600"/>
    <n v="600"/>
    <d v="2023-05-02T00:00:00"/>
    <d v="2023-04-16T00:00:00"/>
    <d v="2023-04-16T00:00:00"/>
    <s v="O-T-T-5-6"/>
    <d v="2023-07-30T00:00:00"/>
    <n v="3.5"/>
    <n v="28"/>
    <m/>
    <m/>
    <m/>
    <m/>
    <m/>
    <m/>
    <s v="Level Wise"/>
    <n v="3600"/>
    <n v="3600"/>
    <s v="Yes"/>
    <d v="2023-06-05T00:00:00"/>
    <m/>
    <m/>
  </r>
  <r>
    <n v="18"/>
    <s v="A006"/>
    <x v="5"/>
    <s v="A05"/>
    <s v="A006_Kushal Patil_A05"/>
    <x v="0"/>
    <s v="Runner-3"/>
    <n v="600"/>
    <n v="600"/>
    <d v="2023-08-03T00:00:00"/>
    <d v="2023-08-03T00:00:00"/>
    <d v="2023-08-01T00:00:00"/>
    <s v="O-T-T-5-6"/>
    <d v="2023-10-30T00:00:00"/>
    <n v="3"/>
    <n v="24"/>
    <s v="Exam Pending"/>
    <m/>
    <m/>
    <m/>
    <m/>
    <m/>
    <s v="Level Wise"/>
    <n v="3600"/>
    <n v="3600"/>
    <s v="Yes"/>
    <d v="2023-08-03T00:00:00"/>
    <m/>
    <m/>
  </r>
  <r>
    <n v="19"/>
    <s v="A007"/>
    <x v="6"/>
    <s v="A03"/>
    <s v="A007_Selene Kaur_A03"/>
    <x v="0"/>
    <s v="Runner-1"/>
    <n v="1600"/>
    <n v="1600"/>
    <d v="2023-01-31T00:00:00"/>
    <d v="2023-02-03T00:00:00"/>
    <d v="2023-02-03T00:00:00"/>
    <s v="M-F-5-6"/>
    <d v="2023-06-01T00:00:00"/>
    <n v="3.9333333333333331"/>
    <n v="32"/>
    <m/>
    <m/>
    <m/>
    <m/>
    <m/>
    <m/>
    <s v="Level Wise"/>
    <n v="3600"/>
    <n v="3600"/>
    <s v="Yes"/>
    <d v="2023-06-01T00:00:00"/>
    <m/>
    <m/>
  </r>
  <r>
    <n v="20"/>
    <s v="A007"/>
    <x v="6"/>
    <s v="A04"/>
    <s v="A007_Selene Kaur_A04"/>
    <x v="0"/>
    <s v="Runner-2"/>
    <n v="400"/>
    <n v="400"/>
    <d v="2023-08-02T00:00:00"/>
    <d v="2023-07-28T00:00:00"/>
    <d v="2023-07-28T00:00:00"/>
    <s v="M-F-5-6"/>
    <d v="2023-10-05T00:00:00"/>
    <n v="2.2999999999999998"/>
    <n v="19"/>
    <m/>
    <m/>
    <m/>
    <m/>
    <m/>
    <m/>
    <s v="Level Wise"/>
    <n v="3600"/>
    <n v="3600"/>
    <s v="Yes"/>
    <d v="2023-10-05T00:00:00"/>
    <m/>
    <m/>
  </r>
  <r>
    <n v="21"/>
    <s v="A007"/>
    <x v="6"/>
    <s v="A05"/>
    <s v="A007_Selene Kaur_A05"/>
    <x v="0"/>
    <s v="Runner-3"/>
    <n v="400"/>
    <n v="400"/>
    <d v="2023-12-03T00:00:00"/>
    <d v="2023-12-03T00:00:00"/>
    <d v="2023-12-06T00:00:00"/>
    <s v="M-F-5-6"/>
    <d v="2024-04-30T00:00:00"/>
    <n v="4.8666666666666663"/>
    <n v="39"/>
    <s v="Exam Pending"/>
    <m/>
    <m/>
    <m/>
    <m/>
    <m/>
    <s v="Level Wise"/>
    <n v="3600"/>
    <n v="3600"/>
    <s v="Yes"/>
    <d v="2024-02-08T00:00:00"/>
    <m/>
    <m/>
  </r>
  <r>
    <n v="22"/>
    <s v="A008"/>
    <x v="7"/>
    <s v="A01"/>
    <s v="A008_Dighvi Nikumbh_A01"/>
    <x v="0"/>
    <s v="Jr.KG"/>
    <n v="1600"/>
    <n v="1600"/>
    <d v="2023-02-13T00:00:00"/>
    <d v="2023-02-03T00:00:00"/>
    <d v="2023-02-03T00:00:00"/>
    <s v="M-F-5-6"/>
    <d v="2023-04-30T00:00:00"/>
    <n v="2.8666666666666667"/>
    <n v="23"/>
    <m/>
    <m/>
    <m/>
    <m/>
    <m/>
    <m/>
    <s v="Level Wise"/>
    <n v="3000"/>
    <n v="3000"/>
    <s v="Yes"/>
    <d v="2023-05-21T00:00:00"/>
    <m/>
    <m/>
  </r>
  <r>
    <n v="23"/>
    <s v="A008"/>
    <x v="7"/>
    <s v="A02"/>
    <s v="A008_Dighvi Nikumbh_A02"/>
    <x v="0"/>
    <s v="Sr.KG "/>
    <n v="400"/>
    <n v="400"/>
    <d v="2023-05-12T00:00:00"/>
    <d v="2023-05-09T00:00:00"/>
    <d v="2023-05-09T00:00:00"/>
    <s v="M-F-5-6"/>
    <d v="2023-08-12T00:00:00"/>
    <n v="3.1666666666666665"/>
    <n v="26"/>
    <m/>
    <m/>
    <m/>
    <m/>
    <m/>
    <m/>
    <s v="Level Wise"/>
    <n v="3000"/>
    <n v="3000"/>
    <s v="Yes"/>
    <d v="2023-08-12T00:00:00"/>
    <m/>
    <m/>
  </r>
  <r>
    <n v="24"/>
    <s v="A008"/>
    <x v="7"/>
    <s v="A03"/>
    <s v="A008_Dighvi Nikumbh_A03"/>
    <x v="0"/>
    <s v="Runner-1"/>
    <n v="400"/>
    <n v="400"/>
    <d v="2023-08-14T00:00:00"/>
    <d v="2023-08-14T00:00:00"/>
    <d v="2023-08-14T00:00:00"/>
    <s v="M-F-7-8"/>
    <d v="2024-08-30T00:00:00"/>
    <n v="12.733333333333333"/>
    <n v="102"/>
    <m/>
    <m/>
    <n v="0.91"/>
    <m/>
    <m/>
    <m/>
    <s v="Level Wise"/>
    <n v="3600"/>
    <n v="3600"/>
    <s v="Yes"/>
    <d v="2023-11-20T00:00:00"/>
    <m/>
    <m/>
  </r>
  <r>
    <n v="25"/>
    <s v="A009"/>
    <x v="8"/>
    <s v="A03"/>
    <s v="A009_Saiansh Kumar_A03"/>
    <x v="0"/>
    <s v="Runner-1"/>
    <n v="1600"/>
    <n v="1600"/>
    <d v="2023-03-18T00:00:00"/>
    <d v="2023-03-17T00:00:00"/>
    <d v="2023-03-17T00:00:00"/>
    <s v="M-F-5-6"/>
    <d v="2023-10-20T00:00:00"/>
    <n v="7.2333333333333334"/>
    <n v="58"/>
    <m/>
    <m/>
    <m/>
    <m/>
    <m/>
    <m/>
    <s v="Level Wise"/>
    <n v="3600"/>
    <n v="3600"/>
    <s v="Yes"/>
    <d v="2023-07-03T00:00:00"/>
    <m/>
    <m/>
  </r>
  <r>
    <n v="26"/>
    <s v="A009"/>
    <x v="8"/>
    <s v="A04"/>
    <s v="A009_Saiansh Kumar_A04"/>
    <x v="0"/>
    <s v="Runner-2"/>
    <n v="400"/>
    <n v="400"/>
    <d v="2023-10-22T00:00:00"/>
    <s v="13-Oct023"/>
    <d v="2023-10-13T00:00:00"/>
    <s v="M-F-5-6"/>
    <d v="2024-02-28T00:00:00"/>
    <n v="4.5999999999999996"/>
    <n v="37"/>
    <m/>
    <m/>
    <m/>
    <m/>
    <m/>
    <m/>
    <s v="Level Wise"/>
    <n v="3600"/>
    <n v="3600"/>
    <s v="Yes"/>
    <d v="2024-02-05T00:00:00"/>
    <m/>
    <m/>
  </r>
  <r>
    <n v="27"/>
    <s v="A010"/>
    <x v="9"/>
    <s v="A02"/>
    <s v="A010_Atharva Titave_A02"/>
    <x v="0"/>
    <s v="Sr.KG "/>
    <n v="1600"/>
    <n v="1600"/>
    <d v="2023-04-05T00:00:00"/>
    <d v="2023-04-05T00:00:00"/>
    <d v="2023-04-02T00:00:00"/>
    <s v="SAT-4-6"/>
    <d v="2023-07-15T00:00:00"/>
    <n v="3.4666666666666668"/>
    <n v="28"/>
    <m/>
    <m/>
    <m/>
    <m/>
    <m/>
    <m/>
    <s v="Level Wise"/>
    <n v="3600"/>
    <n v="3600"/>
    <s v="Yes"/>
    <d v="2023-05-20T00:00:00"/>
    <m/>
    <m/>
  </r>
  <r>
    <n v="28"/>
    <s v="A010"/>
    <x v="9"/>
    <s v="A03"/>
    <s v="A010_Atharva Titave_A03"/>
    <x v="0"/>
    <s v="Runner-1"/>
    <n v="400"/>
    <n v="400"/>
    <d v="2023-07-16T00:00:00"/>
    <d v="2023-07-16T00:00:00"/>
    <d v="2023-07-14T00:00:00"/>
    <s v="SAT-4-6"/>
    <d v="2024-02-20T00:00:00"/>
    <n v="7.3666666666666663"/>
    <n v="59"/>
    <m/>
    <m/>
    <m/>
    <m/>
    <m/>
    <m/>
    <s v="Level Wise"/>
    <n v="3600"/>
    <n v="3600"/>
    <s v="Yes"/>
    <d v="2023-09-30T00:00:00"/>
    <m/>
    <m/>
  </r>
  <r>
    <n v="29"/>
    <s v="A010"/>
    <x v="9"/>
    <s v="A04"/>
    <s v="A010_Atharva Titave_A04"/>
    <x v="0"/>
    <s v="Runner-2"/>
    <n v="400"/>
    <n v="400"/>
    <d v="2024-03-01T00:00:00"/>
    <d v="2024-03-01T00:00:00"/>
    <d v="2024-03-09T00:00:00"/>
    <s v="SAT-4-6"/>
    <d v="2024-07-28T00:00:00"/>
    <n v="4.7"/>
    <n v="38"/>
    <d v="2024-07-20T00:00:00"/>
    <d v="2024-07-28T00:00:00"/>
    <n v="0.83"/>
    <m/>
    <m/>
    <m/>
    <s v="Level Wise"/>
    <n v="3600"/>
    <n v="3600"/>
    <s v="Yes"/>
    <d v="2024-05-30T00:00:00"/>
    <n v="5"/>
    <m/>
  </r>
  <r>
    <n v="30"/>
    <s v="A010"/>
    <x v="9"/>
    <s v="A05"/>
    <s v="A010_Atharva Titave_A05"/>
    <x v="0"/>
    <s v="Runner-3"/>
    <n v="400"/>
    <n v="400"/>
    <d v="2024-09-18T00:00:00"/>
    <d v="2024-07-28T00:00:00"/>
    <d v="2024-07-28T00:00:00"/>
    <s v="SAT-4-6"/>
    <d v="2025-03-08T00:00:00"/>
    <n v="7.4333333333333336"/>
    <n v="60"/>
    <d v="2025-03-08T00:00:00"/>
    <d v="2025-03-08T00:00:00"/>
    <n v="0.95"/>
    <s v="Yes "/>
    <m/>
    <s v="Yes"/>
    <s v="Level Wise"/>
    <n v="3600"/>
    <n v="3600"/>
    <s v="Yes"/>
    <d v="2024-09-18T00:00:00"/>
    <m/>
    <m/>
  </r>
  <r>
    <n v="31"/>
    <s v="A010"/>
    <x v="9"/>
    <s v="A06"/>
    <s v="A010_Atharva Titave_A06"/>
    <x v="1"/>
    <s v="Runner-4"/>
    <n v="400"/>
    <n v="400"/>
    <d v="2025-03-13T00:00:00"/>
    <d v="2025-04-05T00:00:00"/>
    <d v="2025-04-05T00:00:00"/>
    <s v="SAT-4-6"/>
    <m/>
    <m/>
    <m/>
    <m/>
    <m/>
    <m/>
    <m/>
    <m/>
    <m/>
    <s v="Level Wise"/>
    <n v="3600"/>
    <m/>
    <m/>
    <m/>
    <m/>
    <m/>
  </r>
  <r>
    <n v="32"/>
    <s v="A011"/>
    <x v="10"/>
    <s v="A03"/>
    <s v="A011_Shresth Deb_A03"/>
    <x v="0"/>
    <s v="Runner-1"/>
    <n v="1600"/>
    <n v="1600"/>
    <d v="2023-04-04T00:00:00"/>
    <d v="2023-04-04T00:00:00"/>
    <d v="2023-04-04T00:00:00"/>
    <s v="M-F-7-8"/>
    <d v="2023-07-21T00:00:00"/>
    <n v="3.6"/>
    <n v="29"/>
    <m/>
    <m/>
    <m/>
    <m/>
    <m/>
    <m/>
    <s v="Monthly"/>
    <n v="4800"/>
    <n v="4800"/>
    <s v="Yes"/>
    <d v="2023-07-06T00:00:00"/>
    <m/>
    <m/>
  </r>
  <r>
    <n v="33"/>
    <s v="A011"/>
    <x v="10"/>
    <s v="A04"/>
    <s v="A011_Shresth Deb_A04"/>
    <x v="0"/>
    <s v="Runner-2"/>
    <n v="400"/>
    <n v="400"/>
    <d v="2023-07-28T00:00:00"/>
    <d v="2023-07-28T00:00:00"/>
    <d v="2023-07-17T00:00:00"/>
    <s v="M-F-7-8"/>
    <d v="2023-10-01T00:00:00"/>
    <n v="2.5333333333333332"/>
    <n v="21"/>
    <m/>
    <m/>
    <m/>
    <m/>
    <m/>
    <m/>
    <s v="Monthly"/>
    <n v="3600"/>
    <n v="3600"/>
    <s v="Yes"/>
    <d v="2023-10-02T00:00:00"/>
    <m/>
    <m/>
  </r>
  <r>
    <n v="34"/>
    <s v="A011"/>
    <x v="10"/>
    <s v="A05"/>
    <s v="A011_Shresth Deb_A05"/>
    <x v="0"/>
    <s v="Runner-3"/>
    <n v="400"/>
    <n v="400"/>
    <d v="2023-10-09T00:00:00"/>
    <d v="2023-10-06T00:00:00"/>
    <d v="2023-10-06T00:00:00"/>
    <s v="M-F-7-8"/>
    <d v="2024-02-05T00:00:00"/>
    <n v="4.0666666666666664"/>
    <n v="33"/>
    <m/>
    <m/>
    <m/>
    <m/>
    <m/>
    <m/>
    <s v="Monthly"/>
    <n v="4800"/>
    <n v="4800"/>
    <s v="Yes"/>
    <d v="2024-02-05T00:00:00"/>
    <m/>
    <m/>
  </r>
  <r>
    <n v="35"/>
    <s v="A011"/>
    <x v="10"/>
    <s v="A06"/>
    <s v="A011_Shresth Deb_A06"/>
    <x v="0"/>
    <s v="Runner-4"/>
    <n v="400"/>
    <n v="400"/>
    <d v="2024-03-11T00:00:00"/>
    <d v="2024-03-01T00:00:00"/>
    <d v="2024-03-01T00:00:00"/>
    <s v="M-F-7-8"/>
    <d v="2025-06-23T00:00:00"/>
    <n v="15.966666666666667"/>
    <n v="128"/>
    <m/>
    <m/>
    <m/>
    <m/>
    <m/>
    <m/>
    <s v="Monthly"/>
    <n v="5400"/>
    <n v="5400"/>
    <s v="NO"/>
    <d v="2024-07-05T00:00:00"/>
    <n v="5"/>
    <m/>
  </r>
  <r>
    <n v="36"/>
    <s v="A011"/>
    <x v="10"/>
    <s v="A07"/>
    <s v="A011_Shresth Deb_A07"/>
    <x v="1"/>
    <s v="Runner 5"/>
    <n v="400"/>
    <n v="400"/>
    <d v="2025-06-23T00:00:00"/>
    <d v="2025-06-23T00:00:00"/>
    <m/>
    <m/>
    <m/>
    <m/>
    <m/>
    <m/>
    <m/>
    <m/>
    <m/>
    <m/>
    <m/>
    <s v="Monthly"/>
    <n v="3600"/>
    <n v="3600"/>
    <s v="NO"/>
    <d v="2025-09-02T00:00:00"/>
    <n v="3"/>
    <s v="gpay"/>
  </r>
  <r>
    <n v="37"/>
    <s v="A012"/>
    <x v="11"/>
    <s v="A02"/>
    <s v="A012_Swara Patil_A02"/>
    <x v="0"/>
    <s v="Sr.KG "/>
    <n v="1600"/>
    <n v="1600"/>
    <d v="2023-04-10T00:00:00"/>
    <d v="2023-04-10T00:00:00"/>
    <d v="2023-04-10T00:00:00"/>
    <s v="SAT-4-6"/>
    <d v="2023-05-27T00:00:00"/>
    <n v="1.5666666666666667"/>
    <n v="13"/>
    <m/>
    <m/>
    <m/>
    <m/>
    <m/>
    <m/>
    <s v="Level Wise"/>
    <n v="3600"/>
    <n v="3600"/>
    <s v="Yes"/>
    <d v="2023-05-27T00:00:00"/>
    <m/>
    <m/>
  </r>
  <r>
    <n v="38"/>
    <s v="A012"/>
    <x v="11"/>
    <s v="A03"/>
    <s v="A012_Swara Patil_A03"/>
    <x v="2"/>
    <s v="Runner-1"/>
    <n v="400"/>
    <n v="400"/>
    <d v="2023-08-14T00:00:00"/>
    <d v="2023-08-14T00:00:00"/>
    <d v="2023-08-14T00:00:00"/>
    <s v="SAT-4-6"/>
    <m/>
    <n v="26.333333333333332"/>
    <n v="211"/>
    <m/>
    <m/>
    <m/>
    <m/>
    <m/>
    <m/>
    <s v="Level Wise"/>
    <n v="3600"/>
    <n v="3600"/>
    <s v="Yes"/>
    <d v="2023-08-14T00:00:00"/>
    <m/>
    <m/>
  </r>
  <r>
    <n v="39"/>
    <s v="A013"/>
    <x v="12"/>
    <s v="V01"/>
    <s v="A013_Shlesh Nemade_V01"/>
    <x v="0"/>
    <s v="Vedic Level-1"/>
    <n v="0"/>
    <n v="0"/>
    <d v="2023-04-11T00:00:00"/>
    <d v="2023-04-11T00:00:00"/>
    <d v="2023-04-11T00:00:00"/>
    <s v="Daily-10PM"/>
    <d v="2023-05-12T00:00:00"/>
    <n v="1.0333333333333334"/>
    <n v="9"/>
    <m/>
    <m/>
    <m/>
    <m/>
    <m/>
    <m/>
    <s v="Level Wise"/>
    <n v="5000"/>
    <n v="5000"/>
    <s v="Yes"/>
    <d v="2023-05-12T00:00:00"/>
    <m/>
    <m/>
  </r>
  <r>
    <n v="40"/>
    <s v="A014"/>
    <x v="13"/>
    <s v="A01"/>
    <s v="A014_Riyansh Dalvi_A01"/>
    <x v="0"/>
    <s v="Jr.KG"/>
    <n v="1600"/>
    <n v="1600"/>
    <d v="2023-04-12T00:00:00"/>
    <d v="2023-04-12T00:00:00"/>
    <d v="2023-04-12T00:00:00"/>
    <s v="M-F-5-6"/>
    <d v="2023-07-30T00:00:00"/>
    <n v="3.6333333333333333"/>
    <n v="30"/>
    <s v="Exam is pending"/>
    <m/>
    <m/>
    <m/>
    <m/>
    <m/>
    <s v="Level Wise"/>
    <n v="3600"/>
    <n v="3600"/>
    <d v="2023-04-12T00:00:00"/>
    <m/>
    <m/>
    <m/>
  </r>
  <r>
    <n v="41"/>
    <s v="A015"/>
    <x v="14"/>
    <s v="A03"/>
    <s v="A015_Ishan Prasad_A03"/>
    <x v="0"/>
    <s v="Runner-1"/>
    <n v="400"/>
    <n v="400"/>
    <d v="2023-07-14T00:00:00"/>
    <d v="2023-07-14T00:00:00"/>
    <d v="2023-07-10T00:00:00"/>
    <s v="M-F-7-8"/>
    <d v="2024-01-07T00:00:00"/>
    <n v="6.0333333333333332"/>
    <n v="49"/>
    <m/>
    <m/>
    <m/>
    <m/>
    <m/>
    <m/>
    <s v="1st Free"/>
    <n v="3600"/>
    <n v="0"/>
    <s v="NA"/>
    <m/>
    <m/>
    <m/>
  </r>
  <r>
    <n v="42"/>
    <s v="A015"/>
    <x v="14"/>
    <s v="A04"/>
    <s v="A015_Ishan Prasad_A04"/>
    <x v="0"/>
    <s v="Runner-2"/>
    <n v="400"/>
    <n v="400"/>
    <d v="2024-01-14T00:00:00"/>
    <d v="2024-01-14T00:00:00"/>
    <d v="2024-01-15T00:00:00"/>
    <s v="M-F-7-8"/>
    <d v="2024-05-09T00:00:00"/>
    <n v="3.8333333333333335"/>
    <n v="31"/>
    <m/>
    <m/>
    <m/>
    <m/>
    <m/>
    <m/>
    <s v="Monthly"/>
    <n v="3600"/>
    <n v="3600"/>
    <s v="Yes"/>
    <d v="2024-05-02T00:00:00"/>
    <m/>
    <m/>
  </r>
  <r>
    <n v="43"/>
    <s v="A015"/>
    <x v="14"/>
    <s v="A05"/>
    <s v="A015_Ishan Prasad_A05"/>
    <x v="2"/>
    <s v="Runner-3"/>
    <n v="400"/>
    <n v="400"/>
    <d v="2024-05-16T00:00:00"/>
    <d v="2024-05-07T00:00:00"/>
    <d v="2024-05-07T00:00:00"/>
    <s v="T-T-6-7"/>
    <m/>
    <n v="17.433333333333334"/>
    <n v="140"/>
    <m/>
    <m/>
    <m/>
    <m/>
    <m/>
    <m/>
    <s v="Monthly"/>
    <n v="3600"/>
    <n v="3600"/>
    <s v="NO"/>
    <d v="2024-09-10T00:00:00"/>
    <m/>
    <s v="MAY 24 FEE RECEIVED"/>
  </r>
  <r>
    <n v="44"/>
    <s v="A016"/>
    <x v="15"/>
    <s v="A03"/>
    <s v="A016_Nihir Galani_A03"/>
    <x v="0"/>
    <s v="Runner-1"/>
    <n v="550"/>
    <n v="550"/>
    <d v="2023-07-10T00:00:00"/>
    <d v="2023-07-10T00:00:00"/>
    <d v="2023-07-10T00:00:00"/>
    <s v="M-F-5-6"/>
    <d v="2023-09-11T00:00:00"/>
    <n v="2.1"/>
    <n v="17"/>
    <m/>
    <m/>
    <m/>
    <m/>
    <m/>
    <m/>
    <s v="Level Wise"/>
    <n v="3600"/>
    <n v="3600"/>
    <s v="Yes"/>
    <d v="2023-09-11T00:00:00"/>
    <m/>
    <m/>
  </r>
  <r>
    <n v="45"/>
    <s v="A017"/>
    <x v="16"/>
    <s v="A03"/>
    <s v="A017_Aarohi Fegde_A03"/>
    <x v="0"/>
    <s v="Runner-1"/>
    <n v="1600"/>
    <n v="1600"/>
    <d v="2023-07-18T00:00:00"/>
    <d v="2023-07-18T00:00:00"/>
    <d v="2023-07-17T00:00:00"/>
    <s v="T-T-6-7"/>
    <d v="2023-11-30T00:00:00"/>
    <n v="4.5333333333333332"/>
    <n v="37"/>
    <m/>
    <m/>
    <m/>
    <m/>
    <m/>
    <m/>
    <s v="Monthly"/>
    <n v="4800"/>
    <n v="4800"/>
    <s v="Yes"/>
    <d v="2023-11-20T00:00:00"/>
    <m/>
    <m/>
  </r>
  <r>
    <n v="46"/>
    <s v="A017"/>
    <x v="16"/>
    <s v="A04"/>
    <s v="A017_Aarohi Fegde_A04"/>
    <x v="0"/>
    <s v="Runner-2"/>
    <n v="400"/>
    <n v="400"/>
    <d v="2023-12-04T00:00:00"/>
    <d v="2023-12-04T00:00:00"/>
    <d v="2023-12-04T00:00:00"/>
    <s v="T-T-6-7"/>
    <d v="2024-02-11T00:00:00"/>
    <n v="2.2999999999999998"/>
    <n v="19"/>
    <d v="2024-02-11T00:00:00"/>
    <d v="2024-02-11T00:00:00"/>
    <m/>
    <m/>
    <m/>
    <m/>
    <s v="Monthly"/>
    <n v="2400"/>
    <n v="2400"/>
    <s v="NO"/>
    <d v="2024-02-11T00:00:00"/>
    <m/>
    <m/>
  </r>
  <r>
    <n v="47"/>
    <s v="A017"/>
    <x v="16"/>
    <s v="A05"/>
    <s v="A017_Aarohi Fegde_A05"/>
    <x v="0"/>
    <s v="Runner-3"/>
    <n v="400"/>
    <n v="400"/>
    <d v="2024-02-22T00:00:00"/>
    <d v="2024-02-22T00:00:00"/>
    <d v="2024-02-22T00:00:00"/>
    <s v="T-T-6-7"/>
    <d v="2024-05-21T00:00:00"/>
    <n v="2.9666666666666668"/>
    <n v="24"/>
    <d v="2024-05-21T00:00:00"/>
    <d v="2024-05-21T00:00:00"/>
    <n v="0.99"/>
    <m/>
    <m/>
    <m/>
    <s v="Monthly"/>
    <n v="3600"/>
    <n v="3600"/>
    <s v="Yes"/>
    <d v="2024-05-21T00:00:00"/>
    <n v="3"/>
    <m/>
  </r>
  <r>
    <n v="48"/>
    <s v="A017"/>
    <x v="16"/>
    <s v="A06"/>
    <s v="A017_Aarohi Fegde_A06"/>
    <x v="2"/>
    <s v="Runner-4"/>
    <n v="400"/>
    <n v="400"/>
    <d v="2024-06-18T00:00:00"/>
    <d v="2024-06-01T00:00:00"/>
    <d v="2024-06-01T00:00:00"/>
    <s v="T-T-6-7"/>
    <m/>
    <n v="16.600000000000001"/>
    <n v="133"/>
    <m/>
    <m/>
    <m/>
    <m/>
    <m/>
    <m/>
    <s v="Monthly"/>
    <n v="3600"/>
    <n v="4800"/>
    <s v="Yes"/>
    <d v="2024-12-13T00:00:00"/>
    <n v="4"/>
    <m/>
  </r>
  <r>
    <n v="49"/>
    <s v="A018"/>
    <x v="17"/>
    <s v="A03"/>
    <s v="A018_Kaivalya Patil_A03"/>
    <x v="0"/>
    <s v="Runner-1"/>
    <n v="1600"/>
    <n v="1600"/>
    <d v="2023-08-02T00:00:00"/>
    <d v="2023-08-02T00:00:00"/>
    <d v="2023-07-24T00:00:00"/>
    <m/>
    <d v="2023-11-05T00:00:00"/>
    <n v="3.4666666666666668"/>
    <n v="28"/>
    <m/>
    <m/>
    <m/>
    <m/>
    <m/>
    <m/>
    <s v="Level Wise"/>
    <n v="3600"/>
    <n v="3600"/>
    <s v="Yes"/>
    <d v="2023-11-05T00:00:00"/>
    <m/>
    <m/>
  </r>
  <r>
    <n v="50"/>
    <s v="A019"/>
    <x v="18"/>
    <s v="A08"/>
    <s v="A019_Ira Deshmukh_A08"/>
    <x v="2"/>
    <s v="Sprinter Level-1"/>
    <n v="1600"/>
    <n v="1600"/>
    <d v="2023-12-01T00:00:00"/>
    <d v="2023-12-01T00:00:00"/>
    <d v="2023-12-01T00:00:00"/>
    <s v="M-F-7-8"/>
    <d v="2024-06-30T00:00:00"/>
    <n v="7.0666666666666664"/>
    <n v="57"/>
    <m/>
    <m/>
    <m/>
    <m/>
    <m/>
    <m/>
    <s v="Monthly"/>
    <n v="8400"/>
    <n v="6000"/>
    <s v="NO"/>
    <d v="2024-07-05T00:00:00"/>
    <n v="7"/>
    <s v="excluding one month "/>
  </r>
  <r>
    <n v="51"/>
    <s v="A020"/>
    <x v="19"/>
    <s v="A08"/>
    <s v="A020_Riyanshi Varma_A08"/>
    <x v="0"/>
    <s v="Sprinter Level-1"/>
    <n v="400"/>
    <n v="400"/>
    <d v="2023-12-09T00:00:00"/>
    <d v="2023-12-09T00:00:00"/>
    <d v="2023-12-01T00:00:00"/>
    <s v="M-F-5-6"/>
    <d v="2024-04-30T00:00:00"/>
    <n v="5.0333333333333332"/>
    <n v="41"/>
    <m/>
    <m/>
    <m/>
    <m/>
    <m/>
    <m/>
    <s v="Monthly"/>
    <n v="4800"/>
    <n v="4800"/>
    <s v="Yes"/>
    <d v="2024-03-21T00:00:00"/>
    <m/>
    <m/>
  </r>
  <r>
    <n v="52"/>
    <s v="A021"/>
    <x v="20"/>
    <s v="A03"/>
    <s v="A021_Abhay Patil_A03"/>
    <x v="0"/>
    <s v="Runner-1"/>
    <n v="1600"/>
    <n v="1600"/>
    <d v="2024-01-14T00:00:00"/>
    <d v="2024-01-15T00:00:00"/>
    <d v="2024-01-15T00:00:00"/>
    <s v="T-T-6-7"/>
    <d v="2024-05-30T00:00:00"/>
    <n v="4.5333333333333332"/>
    <n v="37"/>
    <d v="2024-05-30T00:00:00"/>
    <d v="2024-05-30T00:00:00"/>
    <n v="0.95"/>
    <m/>
    <m/>
    <m/>
    <s v="Monthly"/>
    <n v="4800"/>
    <n v="4800"/>
    <s v="Yes"/>
    <d v="2024-06-04T00:00:00"/>
    <n v="4"/>
    <m/>
  </r>
  <r>
    <n v="53"/>
    <s v="A021"/>
    <x v="20"/>
    <s v="A04"/>
    <s v="A021_Abhay Patil_A04"/>
    <x v="1"/>
    <s v="Runner-2"/>
    <n v="400"/>
    <n v="400"/>
    <d v="2024-06-04T00:00:00"/>
    <d v="2024-06-04T00:00:00"/>
    <d v="2025-09-22T00:00:00"/>
    <s v="MT-6-7"/>
    <m/>
    <m/>
    <n v="0"/>
    <m/>
    <m/>
    <m/>
    <m/>
    <m/>
    <m/>
    <s v="Monthly"/>
    <n v="3600"/>
    <n v="4000"/>
    <s v="NO"/>
    <s v="30-MAY-24, 29-Sep-25"/>
    <n v="3"/>
    <s v="Gpay "/>
  </r>
  <r>
    <n v="54"/>
    <s v="A022"/>
    <x v="21"/>
    <s v="A02"/>
    <s v="A022_Prisha Chormule_A02"/>
    <x v="0"/>
    <s v="Sr.KG "/>
    <n v="1600"/>
    <n v="1600"/>
    <d v="2023-12-06T00:00:00"/>
    <d v="2024-01-18T00:00:00"/>
    <d v="2024-01-18T00:00:00"/>
    <s v="T-T-6-7"/>
    <d v="2024-06-30T00:00:00"/>
    <n v="5.4666666666666668"/>
    <n v="44"/>
    <m/>
    <m/>
    <n v="0.93"/>
    <m/>
    <m/>
    <m/>
    <s v="Level Wise"/>
    <n v="3000"/>
    <n v="3000"/>
    <s v="Yes"/>
    <d v="2024-03-18T00:00:00"/>
    <m/>
    <m/>
  </r>
  <r>
    <n v="55"/>
    <s v="A023"/>
    <x v="22"/>
    <s v="A03"/>
    <s v="A023_Dhruv Bawankar_A03"/>
    <x v="2"/>
    <s v="Runner-1"/>
    <n v="1600"/>
    <n v="1600"/>
    <d v="2024-02-09T00:00:00"/>
    <d v="2024-02-09T00:00:00"/>
    <d v="2024-01-25T00:00:00"/>
    <s v="M-W-4-5"/>
    <d v="2024-06-30T00:00:00"/>
    <n v="5.2333333333333334"/>
    <n v="42"/>
    <m/>
    <m/>
    <m/>
    <m/>
    <m/>
    <m/>
    <s v="Monthly"/>
    <n v="10800"/>
    <n v="4800"/>
    <s v="NO"/>
    <d v="2024-06-14T00:00:00"/>
    <n v="9"/>
    <m/>
  </r>
  <r>
    <n v="56"/>
    <s v="A024"/>
    <x v="23"/>
    <s v="A02"/>
    <s v="A024_Shreshth Gupta_A02"/>
    <x v="0"/>
    <s v="Sr.KG "/>
    <n v="1600"/>
    <n v="1600"/>
    <d v="2024-02-05T00:00:00"/>
    <d v="2024-02-10T00:00:00"/>
    <d v="2024-02-10T00:00:00"/>
    <s v="O-Daily-2-3"/>
    <d v="2024-05-30T00:00:00"/>
    <n v="3.6666666666666665"/>
    <n v="30"/>
    <m/>
    <m/>
    <n v="1"/>
    <m/>
    <m/>
    <m/>
    <s v="Per Session"/>
    <n v="4800"/>
    <n v="4800"/>
    <s v="Yes"/>
    <d v="2024-05-07T00:00:00"/>
    <m/>
    <m/>
  </r>
  <r>
    <n v="57"/>
    <s v="A024"/>
    <x v="23"/>
    <s v="A03"/>
    <s v="A024_Shreshth Gupta_A03"/>
    <x v="3"/>
    <s v="Runner-1"/>
    <n v="400"/>
    <n v="400"/>
    <d v="2024-06-01T00:00:00"/>
    <d v="2024-06-01T00:00:00"/>
    <d v="2024-06-01T00:00:00"/>
    <s v="Sun 4-6"/>
    <d v="2025-01-05T00:00:00"/>
    <n v="7.2666666666666666"/>
    <n v="59"/>
    <d v="2025-01-05T00:00:00"/>
    <d v="2025-01-05T00:00:00"/>
    <n v="1"/>
    <m/>
    <m/>
    <m/>
    <s v="Monthly"/>
    <n v="6000"/>
    <n v="7200"/>
    <s v="Yes"/>
    <d v="2024-12-06T00:00:00"/>
    <n v="5"/>
    <m/>
  </r>
  <r>
    <n v="58"/>
    <s v="A024"/>
    <x v="23"/>
    <s v="A04"/>
    <s v="A024_Shreshth Gupta_A04"/>
    <x v="0"/>
    <s v="Runner-2"/>
    <n v="400"/>
    <n v="400"/>
    <d v="2025-01-05T00:00:00"/>
    <d v="2025-01-05T00:00:00"/>
    <d v="2025-01-05T00:00:00"/>
    <s v="Sun 4-6"/>
    <d v="2025-06-08T00:00:00"/>
    <n v="5.1333333333333337"/>
    <n v="42"/>
    <d v="2025-06-08T00:00:00"/>
    <d v="2025-06-08T00:00:00"/>
    <n v="0.96"/>
    <m/>
    <m/>
    <m/>
    <s v="Monthly "/>
    <n v="3600"/>
    <n v="6300"/>
    <s v="Yes"/>
    <d v="2025-05-06T00:00:00"/>
    <n v="5"/>
    <s v="gpay"/>
  </r>
  <r>
    <n v="59"/>
    <s v="A024"/>
    <x v="23"/>
    <s v="A05"/>
    <s v="A024_Shreshth Gupta_A05"/>
    <x v="1"/>
    <s v="Runner-3"/>
    <n v="400"/>
    <n v="400"/>
    <d v="2025-06-15T00:00:00"/>
    <d v="2025-06-15T00:00:00"/>
    <d v="2025-06-15T00:00:00"/>
    <s v="Sun-4-6"/>
    <m/>
    <m/>
    <m/>
    <m/>
    <m/>
    <m/>
    <m/>
    <m/>
    <m/>
    <s v="Level Wise"/>
    <n v="3600"/>
    <n v="3600"/>
    <s v="Yes"/>
    <d v="2025-07-12T00:00:00"/>
    <n v="1"/>
    <s v="gpay"/>
  </r>
  <r>
    <n v="60"/>
    <s v="A025"/>
    <x v="24"/>
    <s v="A03"/>
    <s v="A025_Chaitnya Bhave_A03"/>
    <x v="0"/>
    <s v="Runner-1"/>
    <n v="1600"/>
    <n v="1600"/>
    <d v="2024-02-25T00:00:00"/>
    <d v="2024-03-03T00:00:00"/>
    <d v="2024-03-03T00:00:00"/>
    <s v="SAT-4-6"/>
    <d v="2024-10-03T00:00:00"/>
    <n v="7.1333333333333337"/>
    <n v="58"/>
    <m/>
    <m/>
    <n v="0.95"/>
    <m/>
    <m/>
    <m/>
    <s v="Monthly"/>
    <n v="8400"/>
    <n v="7800"/>
    <s v="Yes"/>
    <d v="2024-09-08T00:00:00"/>
    <n v="7"/>
    <m/>
  </r>
  <r>
    <n v="61"/>
    <s v="A025"/>
    <x v="24"/>
    <s v="A04"/>
    <s v="A025_Chaitnya Bhave_A04"/>
    <x v="0"/>
    <s v="Runner-2"/>
    <n v="400"/>
    <n v="400"/>
    <d v="2024-10-10T00:00:00"/>
    <d v="2024-10-06T00:00:00"/>
    <d v="2024-10-06T00:00:00"/>
    <s v="Sun 4-6"/>
    <d v="2025-06-15T00:00:00"/>
    <n v="8.4"/>
    <n v="68"/>
    <d v="2025-06-15T00:00:00"/>
    <d v="2025-06-15T00:00:00"/>
    <n v="0.9"/>
    <s v="N"/>
    <m/>
    <m/>
    <s v="Monthly"/>
    <n v="3600"/>
    <n v="7200"/>
    <s v="Yes"/>
    <d v="2025-05-04T00:00:00"/>
    <n v="4"/>
    <s v="gpay"/>
  </r>
  <r>
    <n v="62"/>
    <s v="A026"/>
    <x v="24"/>
    <s v="A05"/>
    <m/>
    <x v="1"/>
    <s v="Runner-3"/>
    <n v="400"/>
    <n v="400"/>
    <d v="2025-06-15T00:00:00"/>
    <d v="2025-06-15T00:00:00"/>
    <d v="2025-06-15T00:00:00"/>
    <s v="Sun 4-6"/>
    <m/>
    <m/>
    <m/>
    <m/>
    <m/>
    <m/>
    <m/>
    <m/>
    <m/>
    <s v="Monthly "/>
    <n v="3600"/>
    <n v="3600"/>
    <s v="Yes "/>
    <d v="2025-08-16T00:00:00"/>
    <n v="3"/>
    <s v="gpay"/>
  </r>
  <r>
    <n v="63"/>
    <s v="A026"/>
    <x v="25"/>
    <s v="A03"/>
    <s v="A026_Aayushman Kale_A03"/>
    <x v="0"/>
    <s v="Runner-1"/>
    <n v="1600"/>
    <n v="1600"/>
    <d v="2024-03-26T00:00:00"/>
    <d v="2024-04-01T00:00:00"/>
    <d v="2024-04-01T00:00:00"/>
    <s v="Daily-4-5"/>
    <d v="2024-05-15T00:00:00"/>
    <n v="1.4666666666666666"/>
    <n v="12"/>
    <m/>
    <m/>
    <n v="1"/>
    <m/>
    <m/>
    <m/>
    <s v="Level Wise"/>
    <n v="3600"/>
    <n v="3600"/>
    <s v="Yes"/>
    <d v="2024-05-04T00:00:00"/>
    <m/>
    <m/>
  </r>
  <r>
    <n v="64"/>
    <s v="A026"/>
    <x v="25"/>
    <s v="A04"/>
    <s v="A026_Aayushman Kale_A04"/>
    <x v="0"/>
    <s v="Runner-2"/>
    <n v="400"/>
    <n v="400"/>
    <d v="2024-05-16T00:00:00"/>
    <d v="2024-05-16T00:00:00"/>
    <d v="2024-05-18T00:00:00"/>
    <s v="M-W-4-5"/>
    <d v="2024-07-01T00:00:00"/>
    <n v="1.4666666666666666"/>
    <n v="12"/>
    <d v="2024-07-01T00:00:00"/>
    <d v="2024-07-01T00:00:00"/>
    <n v="0.96"/>
    <m/>
    <m/>
    <m/>
    <s v="Level Wise"/>
    <n v="3600"/>
    <n v="3600"/>
    <s v="Yes"/>
    <d v="2024-07-05T00:00:00"/>
    <m/>
    <m/>
  </r>
  <r>
    <n v="65"/>
    <s v="A026"/>
    <x v="25"/>
    <s v="A05"/>
    <s v="A026_Aayushman Kale_A05"/>
    <x v="0"/>
    <s v="Runner-3"/>
    <n v="400"/>
    <n v="400"/>
    <d v="2024-07-01T00:00:00"/>
    <d v="2024-07-01T00:00:00"/>
    <d v="2024-07-01T00:00:00"/>
    <s v="M-W-4-5"/>
    <d v="2024-09-18T00:00:00"/>
    <n v="2.6333333333333333"/>
    <n v="22"/>
    <d v="2024-09-18T00:00:00"/>
    <d v="2024-09-18T00:00:00"/>
    <n v="0.96"/>
    <m/>
    <m/>
    <m/>
    <s v="Level Wise"/>
    <n v="3600"/>
    <n v="3100"/>
    <s v="Yes"/>
    <d v="2024-09-21T00:00:00"/>
    <n v="3"/>
    <m/>
  </r>
  <r>
    <n v="66"/>
    <s v="A026"/>
    <x v="25"/>
    <s v="A06"/>
    <s v="A026_Aayushman Kale_A06"/>
    <x v="0"/>
    <s v="Runner 4"/>
    <n v="400"/>
    <n v="400"/>
    <d v="2024-09-21T00:00:00"/>
    <d v="2024-09-23T00:00:00"/>
    <d v="2024-09-23T00:00:00"/>
    <s v="M-W-4-5"/>
    <d v="2025-02-17T00:00:00"/>
    <n v="4.9000000000000004"/>
    <n v="40"/>
    <d v="2025-02-17T00:00:00"/>
    <d v="2025-02-17T00:00:00"/>
    <n v="0.99"/>
    <m/>
    <m/>
    <m/>
    <s v="Level Wise"/>
    <n v="3600"/>
    <n v="3600"/>
    <s v="Yes"/>
    <d v="2025-01-17T00:00:00"/>
    <n v="3"/>
    <m/>
  </r>
  <r>
    <n v="67"/>
    <s v="A026"/>
    <x v="25"/>
    <s v="A07"/>
    <s v="A026_Aayushman Kale_A07"/>
    <x v="1"/>
    <s v="Runner-5"/>
    <n v="400"/>
    <n v="400"/>
    <d v="2025-02-24T00:00:00"/>
    <d v="2025-02-24T00:00:00"/>
    <d v="2025-02-24T00:00:00"/>
    <s v="M-W-4-5"/>
    <m/>
    <m/>
    <m/>
    <m/>
    <m/>
    <m/>
    <m/>
    <m/>
    <m/>
    <s v="Level Wise"/>
    <n v="3600"/>
    <m/>
    <m/>
    <m/>
    <m/>
    <m/>
  </r>
  <r>
    <n v="68"/>
    <s v="A027"/>
    <x v="26"/>
    <s v="A03"/>
    <s v="A027_Riyansh Pawar_A03"/>
    <x v="0"/>
    <s v="Runner-1"/>
    <n v="1600"/>
    <n v="1600"/>
    <d v="2024-04-04T00:00:00"/>
    <d v="2024-04-04T00:00:00"/>
    <d v="2024-04-02T00:00:00"/>
    <s v="O-Daily-2-3"/>
    <d v="2024-05-13T00:00:00"/>
    <n v="1.3666666666666667"/>
    <n v="11"/>
    <d v="2024-05-13T00:00:00"/>
    <d v="2024-05-13T00:00:00"/>
    <n v="0.97"/>
    <m/>
    <m/>
    <m/>
    <s v="Per Session"/>
    <n v="3600"/>
    <n v="3600"/>
    <s v="Yes"/>
    <d v="2024-05-11T00:00:00"/>
    <m/>
    <m/>
  </r>
  <r>
    <n v="69"/>
    <s v="A027"/>
    <x v="26"/>
    <s v="A04"/>
    <s v="A027_Riyansh Pawar_A04"/>
    <x v="0"/>
    <s v="Runner-2"/>
    <n v="400"/>
    <n v="400"/>
    <d v="2024-05-04T00:00:00"/>
    <d v="2024-05-13T00:00:00"/>
    <d v="2024-05-13T00:00:00"/>
    <s v="O-T-T-4-5"/>
    <d v="2024-06-15T00:00:00"/>
    <n v="1.1000000000000001"/>
    <n v="9"/>
    <d v="2024-06-15T00:00:00"/>
    <d v="2024-06-15T00:00:00"/>
    <n v="0.92"/>
    <m/>
    <m/>
    <m/>
    <s v="Per Session"/>
    <n v="3600"/>
    <n v="3600"/>
    <s v="Yes"/>
    <d v="2024-06-14T00:00:00"/>
    <m/>
    <m/>
  </r>
  <r>
    <n v="70"/>
    <s v="A027"/>
    <x v="26"/>
    <s v="A05"/>
    <s v="A027_Riyansh Pawar_A05"/>
    <x v="0"/>
    <s v="Runner-3"/>
    <n v="400"/>
    <n v="400"/>
    <d v="2024-06-14T00:00:00"/>
    <d v="2024-06-17T00:00:00"/>
    <d v="2024-06-18T00:00:00"/>
    <s v="O-T-T-4-5"/>
    <d v="2024-08-20T00:00:00"/>
    <n v="2.1"/>
    <n v="17"/>
    <d v="2024-08-20T00:00:00"/>
    <d v="2024-08-20T00:00:00"/>
    <n v="0.99"/>
    <m/>
    <m/>
    <m/>
    <s v="Level Wise"/>
    <n v="3600"/>
    <n v="3600"/>
    <s v="Yes"/>
    <d v="2024-08-21T00:00:00"/>
    <m/>
    <m/>
  </r>
  <r>
    <n v="71"/>
    <s v="A027"/>
    <x v="26"/>
    <s v="A06"/>
    <s v="A027_Riyansh Pawar_A06"/>
    <x v="0"/>
    <s v="Runner-4"/>
    <n v="400"/>
    <n v="400"/>
    <d v="2024-08-21T00:00:00"/>
    <d v="2024-08-20T00:00:00"/>
    <d v="2024-08-22T00:00:00"/>
    <s v="O-T-T-4-5"/>
    <d v="2024-10-10T00:00:00"/>
    <n v="1.6333333333333333"/>
    <n v="14"/>
    <d v="2024-10-10T00:00:00"/>
    <d v="2024-10-10T00:00:00"/>
    <n v="0.99329999999999996"/>
    <m/>
    <m/>
    <m/>
    <s v="Level Wise"/>
    <n v="3600"/>
    <n v="3600"/>
    <s v="Yes"/>
    <d v="2024-10-11T00:00:00"/>
    <m/>
    <m/>
  </r>
  <r>
    <n v="72"/>
    <s v="A027"/>
    <x v="26"/>
    <s v="A07"/>
    <s v="A027_Riyansh Pawar_A07"/>
    <x v="0"/>
    <s v="Runner 5"/>
    <n v="400"/>
    <n v="400"/>
    <d v="2024-10-11T00:00:00"/>
    <d v="2024-10-10T00:00:00"/>
    <d v="2024-10-10T00:00:00"/>
    <s v="O-T-T-4-5"/>
    <d v="2025-01-10T00:00:00"/>
    <n v="3.0666666666666669"/>
    <n v="25"/>
    <d v="2025-01-10T00:00:00"/>
    <d v="2025-01-10T00:00:00"/>
    <n v="0.9375"/>
    <m/>
    <m/>
    <m/>
    <s v="Level Wise"/>
    <n v="3600"/>
    <n v="3600"/>
    <s v="Yes"/>
    <d v="2025-01-11T00:00:00"/>
    <m/>
    <s v="gpay"/>
  </r>
  <r>
    <n v="73"/>
    <s v="A027"/>
    <x v="26"/>
    <s v="A08"/>
    <s v="A027_Riyansh Pawar_A08"/>
    <x v="0"/>
    <s v="Advance level -1"/>
    <n v="400"/>
    <n v="400"/>
    <d v="2025-01-11T00:00:00"/>
    <d v="2025-01-14T00:00:00"/>
    <d v="2025-01-14T00:00:00"/>
    <s v="O-T-T-4-5"/>
    <d v="2025-06-07T00:00:00"/>
    <m/>
    <m/>
    <d v="2025-06-07T00:00:00"/>
    <d v="2025-06-07T00:00:00"/>
    <n v="0.87"/>
    <m/>
    <m/>
    <m/>
    <s v="Level Wise"/>
    <n v="3600"/>
    <n v="3600"/>
    <s v="Yes "/>
    <d v="2025-06-08T00:00:00"/>
    <m/>
    <s v="Gpay "/>
  </r>
  <r>
    <n v="74"/>
    <s v="A027"/>
    <x v="26"/>
    <s v="A09"/>
    <s v="A027_Riyansh Pawar_A09"/>
    <x v="1"/>
    <s v="Advance level -2"/>
    <n v="400"/>
    <n v="400"/>
    <d v="2025-06-08T00:00:00"/>
    <d v="2025-06-08T00:00:00"/>
    <d v="2025-06-08T00:00:00"/>
    <s v="O-T-T-4-5"/>
    <m/>
    <m/>
    <m/>
    <m/>
    <m/>
    <m/>
    <m/>
    <m/>
    <m/>
    <s v="Level Wise"/>
    <n v="3600"/>
    <m/>
    <m/>
    <m/>
    <m/>
    <m/>
  </r>
  <r>
    <n v="75"/>
    <s v="A028"/>
    <x v="27"/>
    <s v="A03"/>
    <s v="A028_Jyotiraditya Jagtap_A03"/>
    <x v="0"/>
    <s v="Runner-1"/>
    <n v="1600"/>
    <n v="1600"/>
    <d v="2024-04-04T00:00:00"/>
    <d v="2024-04-04T00:00:00"/>
    <d v="2024-04-03T00:00:00"/>
    <s v="Daily-4-5"/>
    <d v="2024-05-15T00:00:00"/>
    <n v="1.4"/>
    <n v="12"/>
    <m/>
    <m/>
    <n v="1"/>
    <m/>
    <m/>
    <m/>
    <s v="Level Wise"/>
    <n v="3600"/>
    <n v="3600"/>
    <s v="NO"/>
    <d v="2024-05-18T00:00:00"/>
    <m/>
    <m/>
  </r>
  <r>
    <n v="76"/>
    <s v="A028"/>
    <x v="27"/>
    <s v="A04"/>
    <s v="A028_Jyotiraditya Jagtap_A04"/>
    <x v="0"/>
    <s v="Runner-2"/>
    <n v="400"/>
    <n v="400"/>
    <d v="2024-05-18T00:00:00"/>
    <d v="2024-05-18T00:00:00"/>
    <d v="2024-05-18T00:00:00"/>
    <s v="M-W-4-5"/>
    <d v="2024-07-01T00:00:00"/>
    <n v="1.4666666666666666"/>
    <n v="12"/>
    <d v="2024-07-01T00:00:00"/>
    <d v="2024-07-01T00:00:00"/>
    <n v="1"/>
    <m/>
    <m/>
    <m/>
    <s v="Level Wise"/>
    <n v="3600"/>
    <n v="3600"/>
    <s v="Yes"/>
    <d v="2024-07-08T00:00:00"/>
    <m/>
    <m/>
  </r>
  <r>
    <n v="77"/>
    <s v="A028"/>
    <x v="27"/>
    <s v="A05"/>
    <s v="A028_Jyotiraditya Jagtap_A05"/>
    <x v="0"/>
    <s v="Runner-3"/>
    <n v="400"/>
    <n v="400"/>
    <d v="2024-07-01T00:00:00"/>
    <d v="2024-07-01T00:00:00"/>
    <d v="2024-07-01T00:00:00"/>
    <s v="M-W-4-5"/>
    <d v="2024-09-04T00:00:00"/>
    <n v="2.1666666666666665"/>
    <n v="18"/>
    <d v="2024-09-04T00:00:00"/>
    <d v="2024-09-04T00:00:00"/>
    <n v="0.98"/>
    <m/>
    <m/>
    <m/>
    <s v="Level Wise"/>
    <n v="3600"/>
    <n v="3600"/>
    <s v="Yes"/>
    <d v="2024-09-09T00:00:00"/>
    <m/>
    <m/>
  </r>
  <r>
    <n v="78"/>
    <s v="A028"/>
    <x v="27"/>
    <s v="A06"/>
    <m/>
    <x v="0"/>
    <s v="Runner -4"/>
    <n v="400"/>
    <n v="400"/>
    <d v="2024-09-04T00:00:00"/>
    <d v="2024-09-04T00:00:00"/>
    <d v="2024-09-09T00:00:00"/>
    <s v="M-W-4-5"/>
    <d v="2025-02-17T00:00:00"/>
    <n v="5.3666666666666663"/>
    <n v="43"/>
    <d v="2025-02-17T00:00:00"/>
    <d v="2025-02-17T00:00:00"/>
    <n v="1"/>
    <s v="Yes "/>
    <n v="4"/>
    <m/>
    <s v="150/Session "/>
    <n v="3600"/>
    <n v="4600"/>
    <s v="Yes"/>
    <d v="2025-03-03T00:00:00"/>
    <n v="4"/>
    <s v="Cash"/>
  </r>
  <r>
    <n v="79"/>
    <s v="A028"/>
    <x v="27"/>
    <s v="A07"/>
    <m/>
    <x v="1"/>
    <s v="Runner 5"/>
    <n v="400"/>
    <n v="400"/>
    <d v="2025-03-03T00:00:00"/>
    <d v="2025-02-24T00:00:00"/>
    <d v="2025-02-24T00:00:00"/>
    <s v="M-W-4-5"/>
    <m/>
    <n v="7.666666666666667"/>
    <m/>
    <m/>
    <m/>
    <m/>
    <m/>
    <m/>
    <m/>
    <s v="Level Wise"/>
    <n v="3600"/>
    <m/>
    <s v="NO"/>
    <m/>
    <m/>
    <m/>
  </r>
  <r>
    <n v="80"/>
    <s v="A029"/>
    <x v="28"/>
    <s v="A03"/>
    <s v="A029_Vikramaditya Jagtap_A03"/>
    <x v="0"/>
    <s v="Runner-1"/>
    <n v="1600"/>
    <n v="1600"/>
    <d v="2024-04-04T00:00:00"/>
    <d v="2024-04-04T00:00:00"/>
    <d v="2024-04-03T00:00:00"/>
    <s v="Daily-4-5"/>
    <d v="2024-05-15T00:00:00"/>
    <n v="1.4"/>
    <n v="12"/>
    <m/>
    <m/>
    <n v="0.98"/>
    <m/>
    <m/>
    <m/>
    <s v="Level Wise"/>
    <n v="3600"/>
    <n v="3600"/>
    <s v="Yes"/>
    <d v="2024-05-18T00:00:00"/>
    <m/>
    <m/>
  </r>
  <r>
    <n v="81"/>
    <s v="A029"/>
    <x v="28"/>
    <s v="A04"/>
    <s v="A029_Vikramaditya Jagtap_A04"/>
    <x v="0"/>
    <s v="Runner-2"/>
    <n v="400"/>
    <n v="400"/>
    <d v="2024-05-18T00:00:00"/>
    <d v="2024-05-18T00:00:00"/>
    <d v="2024-05-18T00:00:00"/>
    <s v="M-W-4-5"/>
    <d v="2024-07-17T00:00:00"/>
    <n v="2"/>
    <n v="16"/>
    <d v="2024-07-17T00:00:00"/>
    <d v="2024-07-17T00:00:00"/>
    <n v="0.98"/>
    <m/>
    <m/>
    <m/>
    <s v="Level Wise"/>
    <n v="3600"/>
    <n v="3600"/>
    <s v="Yes"/>
    <d v="2024-07-19T00:00:00"/>
    <m/>
    <m/>
  </r>
  <r>
    <n v="82"/>
    <s v="A029"/>
    <x v="28"/>
    <s v="A05"/>
    <s v="A029_Vikramaditya Jagtap_A05"/>
    <x v="3"/>
    <s v="Runner-3"/>
    <n v="400"/>
    <n v="400"/>
    <d v="2024-07-17T00:00:00"/>
    <d v="2024-07-17T00:00:00"/>
    <d v="2024-07-17T00:00:00"/>
    <s v="M-W-4-5"/>
    <d v="2025-02-17T00:00:00"/>
    <n v="7.166666666666667"/>
    <n v="58"/>
    <d v="2025-02-17T00:00:00"/>
    <d v="2025-02-17T00:00:00"/>
    <n v="0.89"/>
    <s v="No"/>
    <m/>
    <m/>
    <s v="Level Wise"/>
    <n v="3600"/>
    <n v="3600"/>
    <s v="Yes"/>
    <d v="2025-03-03T00:00:00"/>
    <n v="6"/>
    <s v="Cash"/>
  </r>
  <r>
    <n v="83"/>
    <s v="A029"/>
    <x v="28"/>
    <s v="A06"/>
    <m/>
    <x v="1"/>
    <s v="Runner 4"/>
    <n v="400"/>
    <n v="400"/>
    <d v="2025-02-24T00:00:00"/>
    <d v="2025-02-24T00:00:00"/>
    <d v="2025-02-24T00:00:00"/>
    <s v="M-W-4-5"/>
    <m/>
    <m/>
    <m/>
    <m/>
    <m/>
    <m/>
    <m/>
    <m/>
    <m/>
    <s v="Level Wise"/>
    <m/>
    <m/>
    <m/>
    <m/>
    <m/>
    <m/>
  </r>
  <r>
    <n v="84"/>
    <s v="A030"/>
    <x v="29"/>
    <s v="A03"/>
    <s v="A030_Swastika Yadhav_A03"/>
    <x v="0"/>
    <s v="Runner-1"/>
    <n v="1600"/>
    <n v="1600"/>
    <d v="2024-04-04T00:00:00"/>
    <d v="2024-04-04T00:00:00"/>
    <d v="2024-04-03T00:00:00"/>
    <s v="Daily-4-5"/>
    <d v="2024-05-15T00:00:00"/>
    <n v="1.4"/>
    <n v="12"/>
    <m/>
    <m/>
    <n v="0.94"/>
    <m/>
    <m/>
    <m/>
    <s v="Level Wise"/>
    <n v="3600"/>
    <n v="3600"/>
    <s v="Yes"/>
    <d v="2024-05-18T00:00:00"/>
    <m/>
    <m/>
  </r>
  <r>
    <n v="85"/>
    <s v="A030"/>
    <x v="29"/>
    <s v="A04"/>
    <s v="A030_Swastika Yadhav_A04"/>
    <x v="0"/>
    <s v="Runner-2"/>
    <n v="400"/>
    <n v="400"/>
    <d v="2024-05-18T00:00:00"/>
    <d v="2024-05-18T00:00:00"/>
    <d v="2024-05-18T00:00:00"/>
    <s v="M-W-4-5"/>
    <d v="2024-07-01T00:00:00"/>
    <n v="1.4666666666666666"/>
    <n v="12"/>
    <d v="2024-07-01T00:00:00"/>
    <d v="2024-07-01T00:00:00"/>
    <n v="0.98"/>
    <m/>
    <m/>
    <m/>
    <s v="Level Wise"/>
    <n v="3600"/>
    <n v="3600"/>
    <s v="Yes"/>
    <d v="2024-07-03T00:00:00"/>
    <m/>
    <m/>
  </r>
  <r>
    <n v="86"/>
    <s v="A030"/>
    <x v="29"/>
    <s v="A05"/>
    <s v="A030_Swastika Yadhav_A05"/>
    <x v="0"/>
    <s v="Runner-3"/>
    <n v="400"/>
    <n v="400"/>
    <d v="2024-07-03T00:00:00"/>
    <d v="2024-07-01T00:00:00"/>
    <d v="2024-07-01T00:00:00"/>
    <s v="M-W-4-5"/>
    <d v="2024-09-09T00:00:00"/>
    <n v="2.3333333333333335"/>
    <n v="19"/>
    <d v="2024-09-09T00:00:00"/>
    <d v="2024-09-09T00:00:00"/>
    <n v="0.96"/>
    <m/>
    <m/>
    <m/>
    <s v="Level Wise"/>
    <n v="3600"/>
    <n v="3600"/>
    <s v="Yes"/>
    <d v="2024-09-27T00:00:00"/>
    <m/>
    <m/>
  </r>
  <r>
    <n v="87"/>
    <s v="A030"/>
    <x v="29"/>
    <s v="A06"/>
    <s v="A030_Swastika Yadhav_A06"/>
    <x v="3"/>
    <s v="Runner -4"/>
    <n v="400"/>
    <n v="400"/>
    <d v="2024-09-27T00:00:00"/>
    <d v="2024-09-16T00:00:00"/>
    <d v="2024-09-16T00:00:00"/>
    <s v="Sun 4-6"/>
    <d v="2025-02-22T00:00:00"/>
    <n v="5.3"/>
    <n v="43"/>
    <d v="2025-02-22T00:00:00"/>
    <d v="2025-02-22T00:00:00"/>
    <n v="1"/>
    <s v="yes"/>
    <n v="0.04"/>
    <m/>
    <s v="Level Wise"/>
    <n v="3600"/>
    <n v="3600"/>
    <s v="Yes"/>
    <d v="2025-02-24T00:00:00"/>
    <m/>
    <s v="gpay"/>
  </r>
  <r>
    <n v="88"/>
    <s v="A030"/>
    <x v="29"/>
    <s v="A07"/>
    <s v="A030_Swastika Yadhav_A07"/>
    <x v="2"/>
    <s v="Runner -5"/>
    <n v="400"/>
    <m/>
    <d v="2025-04-12T00:00:00"/>
    <d v="2025-04-13T00:00:00"/>
    <d v="2025-04-09T00:00:00"/>
    <s v="M-W-4-5"/>
    <m/>
    <m/>
    <m/>
    <m/>
    <m/>
    <m/>
    <m/>
    <m/>
    <m/>
    <s v="Level Wise"/>
    <n v="3600"/>
    <m/>
    <m/>
    <m/>
    <m/>
    <m/>
  </r>
  <r>
    <n v="89"/>
    <s v="A031"/>
    <x v="30"/>
    <s v="A08"/>
    <s v="A031_Aara Y_A08"/>
    <x v="0"/>
    <s v="Sprinter Level-1"/>
    <n v="1600"/>
    <n v="1600"/>
    <d v="2024-04-16T00:00:00"/>
    <d v="2024-04-19T00:00:00"/>
    <d v="2024-04-19T00:00:00"/>
    <s v="O-T-T-4-5"/>
    <d v="2024-07-06T00:00:00"/>
    <n v="2.6"/>
    <n v="21"/>
    <d v="2024-07-06T00:00:00"/>
    <d v="2024-07-06T00:00:00"/>
    <n v="1"/>
    <m/>
    <m/>
    <m/>
    <s v="Level Wise"/>
    <n v="3600"/>
    <n v="3600"/>
    <s v="Yes"/>
    <d v="2024-07-10T00:00:00"/>
    <m/>
    <m/>
  </r>
  <r>
    <n v="90"/>
    <s v="A032"/>
    <x v="31"/>
    <s v="A01"/>
    <s v="A032_Nurvi Parad_A01"/>
    <x v="0"/>
    <s v="Jr.KG"/>
    <n v="1600"/>
    <n v="1600"/>
    <d v="2024-04-23T00:00:00"/>
    <d v="2024-04-24T00:00:00"/>
    <d v="2024-04-24T00:00:00"/>
    <s v="T-T-6-7"/>
    <d v="2025-06-26T00:00:00"/>
    <n v="14.266666666666667"/>
    <n v="115"/>
    <m/>
    <d v="2025-06-26T00:00:00"/>
    <n v="1"/>
    <s v="yes"/>
    <m/>
    <m/>
    <s v="Level Wise"/>
    <n v="3600"/>
    <n v="3600"/>
    <s v="NO"/>
    <s v="5/17/2024,7TH JUL 25"/>
    <m/>
    <s v="Gpay "/>
  </r>
  <r>
    <n v="91"/>
    <s v="A032"/>
    <x v="31"/>
    <s v="A02"/>
    <s v="A032_Nurvi Parad_A02"/>
    <x v="2"/>
    <s v="Sr.KG "/>
    <n v="400"/>
    <n v="400"/>
    <m/>
    <m/>
    <m/>
    <m/>
    <m/>
    <m/>
    <m/>
    <m/>
    <m/>
    <m/>
    <m/>
    <m/>
    <m/>
    <m/>
    <m/>
    <m/>
    <m/>
    <m/>
    <m/>
    <s v="Gpay "/>
  </r>
  <r>
    <n v="92"/>
    <s v="A033"/>
    <x v="32"/>
    <s v="A08"/>
    <s v="A033_Shubhra Rokade_A08"/>
    <x v="0"/>
    <s v="Sprinter Level-1"/>
    <n v="1600"/>
    <n v="1600"/>
    <d v="2024-04-29T00:00:00"/>
    <d v="2024-05-01T00:00:00"/>
    <d v="2024-05-01T00:00:00"/>
    <s v="Daily-4-5"/>
    <d v="2024-06-06T00:00:00"/>
    <n v="1.2"/>
    <n v="10"/>
    <m/>
    <m/>
    <n v="0.98"/>
    <m/>
    <m/>
    <m/>
    <s v="Level Wise"/>
    <n v="3600"/>
    <n v="3600"/>
    <s v="Yes"/>
    <d v="2024-06-07T00:00:00"/>
    <m/>
    <m/>
  </r>
  <r>
    <n v="93"/>
    <s v="A033"/>
    <x v="32"/>
    <s v="A09"/>
    <s v="A033_Shubhra Rokade_A09"/>
    <x v="0"/>
    <s v="Sprinter Level-2"/>
    <n v="400"/>
    <n v="400"/>
    <d v="2024-06-07T00:00:00"/>
    <d v="2024-06-07T00:00:00"/>
    <d v="2024-06-07T00:00:00"/>
    <s v="M-F-7-8"/>
    <d v="2024-07-05T00:00:00"/>
    <n v="0.93333333333333335"/>
    <n v="8"/>
    <d v="2024-07-05T00:00:00"/>
    <d v="2024-07-05T00:00:00"/>
    <n v="1"/>
    <m/>
    <m/>
    <m/>
    <s v="Level Wise"/>
    <n v="3600"/>
    <n v="3000"/>
    <s v="Yes"/>
    <d v="2024-07-09T00:00:00"/>
    <m/>
    <m/>
  </r>
  <r>
    <n v="94"/>
    <s v="A033"/>
    <x v="32"/>
    <s v="A10"/>
    <s v="A033_Shubhra Rokade_A10"/>
    <x v="0"/>
    <s v="Sprinter Level-3"/>
    <n v="400"/>
    <n v="400"/>
    <d v="2024-07-08T00:00:00"/>
    <d v="2024-07-08T00:00:00"/>
    <d v="2024-07-08T00:00:00"/>
    <s v="M-F-7-8"/>
    <d v="2024-09-14T00:00:00"/>
    <n v="2.2666666666666666"/>
    <n v="19"/>
    <d v="2024-09-14T00:00:00"/>
    <d v="2024-09-14T00:00:00"/>
    <n v="0.99109999999999998"/>
    <m/>
    <m/>
    <m/>
    <s v="Level Wise"/>
    <n v="3600"/>
    <n v="3000"/>
    <s v="Yes"/>
    <d v="2025-01-18T00:00:00"/>
    <s v="Gpay"/>
    <m/>
  </r>
  <r>
    <n v="95"/>
    <s v="A033"/>
    <x v="32"/>
    <s v="A11"/>
    <s v="A033_Shubhra Rokade_A11"/>
    <x v="3"/>
    <s v="Sprinter Level-4"/>
    <n v="400"/>
    <n v="400"/>
    <d v="2024-09-17T00:00:00"/>
    <d v="2024-09-13T00:00:00"/>
    <d v="2024-09-13T00:00:00"/>
    <s v="M-F-7-8"/>
    <d v="2025-01-13T00:00:00"/>
    <n v="4.0666666666666664"/>
    <n v="33"/>
    <d v="2025-01-13T00:00:00"/>
    <d v="2025-01-13T00:00:00"/>
    <n v="0.86"/>
    <m/>
    <m/>
    <m/>
    <s v="Level Wise"/>
    <n v="3600"/>
    <n v="3600"/>
    <s v="Yes "/>
    <m/>
    <m/>
    <m/>
  </r>
  <r>
    <n v="96"/>
    <s v="A033"/>
    <x v="32"/>
    <s v="A12"/>
    <s v="A033_Shubhra Rokade_A12"/>
    <x v="0"/>
    <s v="Advance level -1"/>
    <n v="400"/>
    <n v="400"/>
    <d v="2025-01-18T00:00:00"/>
    <d v="2025-01-22T00:00:00"/>
    <d v="2025-01-22T00:00:00"/>
    <s v="M-W-7-8"/>
    <d v="2025-07-09T00:00:00"/>
    <n v="5.6"/>
    <n v="45"/>
    <d v="2025-07-09T00:00:00"/>
    <d v="2025-07-09T00:00:00"/>
    <n v="0.88"/>
    <m/>
    <m/>
    <m/>
    <s v="Session wise"/>
    <n v="3600"/>
    <n v="4200"/>
    <s v="Yes"/>
    <d v="2025-06-30T00:00:00"/>
    <s v="28-Sessions"/>
    <s v="gpay"/>
  </r>
  <r>
    <n v="97"/>
    <s v="A034"/>
    <x v="33"/>
    <s v="A03"/>
    <s v="A034_Shreya Asarma_A03"/>
    <x v="0"/>
    <s v="Runner-1"/>
    <n v="1600"/>
    <n v="1600"/>
    <d v="2024-05-04T00:00:00"/>
    <d v="2024-05-04T00:00:00"/>
    <d v="2024-05-04T00:00:00"/>
    <s v="O-T-T-4-5"/>
    <d v="2024-06-22T00:00:00"/>
    <n v="1.6333333333333333"/>
    <n v="14"/>
    <d v="2024-06-22T00:00:00"/>
    <d v="2024-06-22T00:00:00"/>
    <n v="0.95"/>
    <m/>
    <m/>
    <m/>
    <s v="1st Free"/>
    <n v="0"/>
    <n v="0"/>
    <s v="NA"/>
    <m/>
    <m/>
    <m/>
  </r>
  <r>
    <n v="98"/>
    <s v="A034"/>
    <x v="33"/>
    <s v="A04"/>
    <s v="A034_Shreya Asarma_A04"/>
    <x v="3"/>
    <s v="Runner-2"/>
    <n v="400"/>
    <n v="400"/>
    <d v="2024-08-31T00:00:00"/>
    <d v="2024-08-31T00:00:00"/>
    <d v="2024-09-03T00:00:00"/>
    <s v="O-T-T-4-5"/>
    <d v="2024-12-01T00:00:00"/>
    <n v="2.9666666666666668"/>
    <n v="24"/>
    <d v="2024-12-01T00:00:00"/>
    <d v="2024-12-01T00:00:00"/>
    <n v="1"/>
    <m/>
    <m/>
    <m/>
    <s v="Monthly"/>
    <n v="3600"/>
    <n v="3600"/>
    <s v="Yes"/>
    <d v="2024-11-04T00:00:00"/>
    <n v="3"/>
    <m/>
  </r>
  <r>
    <n v="99"/>
    <s v="A034"/>
    <x v="33"/>
    <s v="A05"/>
    <s v="A034_Shreya Asarma_A05"/>
    <x v="0"/>
    <s v="Runner-3"/>
    <n v="400"/>
    <n v="400"/>
    <d v="2024-12-19T00:00:00"/>
    <d v="2024-12-19T00:00:00"/>
    <d v="2024-12-19T00:00:00"/>
    <s v="O-T-T-4-5"/>
    <d v="2025-05-31T00:00:00"/>
    <n v="5.4333333333333336"/>
    <n v="44"/>
    <d v="2025-05-31T00:00:00"/>
    <d v="2025-05-31T00:00:00"/>
    <n v="0.96"/>
    <m/>
    <m/>
    <m/>
    <s v="levelwise "/>
    <n v="3600"/>
    <n v="3600"/>
    <s v="Yes "/>
    <d v="2025-03-25T00:00:00"/>
    <m/>
    <s v="Gpay "/>
  </r>
  <r>
    <m/>
    <s v="A034"/>
    <x v="33"/>
    <s v="A06"/>
    <s v="A034_Shreya Asarma_A06"/>
    <x v="1"/>
    <s v="Runner-4"/>
    <n v="400"/>
    <n v="400"/>
    <d v="2025-05-31T00:00:00"/>
    <d v="2025-05-31T00:00:00"/>
    <d v="2025-06-03T00:00:00"/>
    <s v="O-T-T-4-5"/>
    <m/>
    <m/>
    <m/>
    <m/>
    <m/>
    <m/>
    <m/>
    <m/>
    <m/>
    <s v="Level Wise"/>
    <n v="3600"/>
    <n v="3600"/>
    <s v="Yes "/>
    <d v="2025-07-21T00:00:00"/>
    <m/>
    <m/>
  </r>
  <r>
    <n v="100"/>
    <s v="A035"/>
    <x v="34"/>
    <s v="A08"/>
    <s v="A035_Swara Kondhare_A08"/>
    <x v="2"/>
    <s v="Sprinter Level-1"/>
    <n v="1600"/>
    <n v="1600"/>
    <d v="2024-05-09T00:00:00"/>
    <d v="2024-05-09T00:00:00"/>
    <d v="2024-05-09T00:00:00"/>
    <s v="SAT-4-6"/>
    <m/>
    <n v="17.366666666666667"/>
    <n v="139"/>
    <m/>
    <m/>
    <m/>
    <m/>
    <m/>
    <m/>
    <s v="Level Wise"/>
    <n v="3600"/>
    <n v="1400"/>
    <s v="NO"/>
    <d v="2024-05-10T00:00:00"/>
    <m/>
    <m/>
  </r>
  <r>
    <n v="101"/>
    <s v="A036"/>
    <x v="35"/>
    <s v="A02"/>
    <s v="A036_Yashwi Patil_A02"/>
    <x v="0"/>
    <s v="Sr.KG "/>
    <n v="1600"/>
    <n v="1600"/>
    <d v="2024-05-13T00:00:00"/>
    <d v="2024-05-13T00:00:00"/>
    <d v="2024-05-13T00:00:00"/>
    <s v="T-T-6-7"/>
    <d v="2024-06-26T00:00:00"/>
    <n v="1.4666666666666666"/>
    <n v="12"/>
    <d v="2024-06-26T00:00:00"/>
    <d v="2024-06-26T00:00:00"/>
    <n v="0.96"/>
    <m/>
    <m/>
    <m/>
    <s v="Level Wise"/>
    <n v="3600"/>
    <n v="3600"/>
    <s v="Yes"/>
    <d v="2024-06-27T00:00:00"/>
    <m/>
    <m/>
  </r>
  <r>
    <n v="102"/>
    <s v="A037"/>
    <x v="36"/>
    <s v="A03"/>
    <s v="A037_Spruha Patil_A03"/>
    <x v="0"/>
    <s v="Runner-1"/>
    <n v="550"/>
    <n v="550"/>
    <d v="2024-05-14T00:00:00"/>
    <d v="2024-05-14T00:00:00"/>
    <d v="2024-05-14T00:00:00"/>
    <s v="M-F-7-8"/>
    <d v="2024-09-29T00:00:00"/>
    <n v="4.5999999999999996"/>
    <n v="37"/>
    <d v="2024-09-29T00:00:00"/>
    <d v="2024-09-29T00:00:00"/>
    <n v="0.95"/>
    <m/>
    <m/>
    <m/>
    <s v="Level Wise"/>
    <n v="3600"/>
    <n v="3600"/>
    <s v="Yes"/>
    <d v="2024-09-21T00:00:00"/>
    <d v="1900-01-03T00:00:00"/>
    <m/>
  </r>
  <r>
    <n v="103"/>
    <s v="A037"/>
    <x v="36"/>
    <s v="A04"/>
    <s v="A037_Spruha Patil_A04"/>
    <x v="1"/>
    <s v="Runner 2"/>
    <n v="400"/>
    <n v="400"/>
    <d v="2024-10-19T00:00:00"/>
    <d v="2024-10-14T00:00:00"/>
    <d v="2024-10-14T00:00:00"/>
    <s v="SAT-4-6"/>
    <m/>
    <n v="12.1"/>
    <n v="97"/>
    <m/>
    <m/>
    <m/>
    <m/>
    <m/>
    <m/>
    <s v="Level Wise"/>
    <n v="3600"/>
    <n v="1800"/>
    <s v="NO"/>
    <d v="2024-11-19T00:00:00"/>
    <m/>
    <m/>
  </r>
  <r>
    <n v="104"/>
    <s v="A038"/>
    <x v="37"/>
    <s v="A08"/>
    <s v="A038_Aaradhya _A08"/>
    <x v="0"/>
    <s v="Sprinter Level-1"/>
    <n v="600"/>
    <n v="600"/>
    <d v="2024-06-17T00:00:00"/>
    <d v="2024-06-17T00:00:00"/>
    <d v="2024-06-12T00:00:00"/>
    <s v="M-W-4-5"/>
    <d v="2025-01-10T00:00:00"/>
    <n v="7.0666666666666664"/>
    <n v="57"/>
    <d v="2025-01-10T00:00:00"/>
    <d v="2025-01-10T00:00:00"/>
    <n v="0.96"/>
    <s v="yes"/>
    <m/>
    <m/>
    <s v="Monthly"/>
    <n v="3600"/>
    <n v="6000"/>
    <s v="Yes"/>
    <d v="2025-01-10T00:00:00"/>
    <n v="5"/>
    <s v="Cash"/>
  </r>
  <r>
    <n v="105"/>
    <s v="A038"/>
    <x v="37"/>
    <s v="A09"/>
    <s v="A038_Aaradhya _A09"/>
    <x v="0"/>
    <s v="Sprinter Level-2"/>
    <n v="400"/>
    <n v="400"/>
    <d v="2025-01-10T00:00:00"/>
    <d v="2025-01-13T00:00:00"/>
    <d v="2025-01-13T00:00:00"/>
    <s v="M-W-TH-4-5"/>
    <d v="2025-05-19T00:00:00"/>
    <n v="4.2"/>
    <n v="34"/>
    <d v="2025-05-19T00:00:00"/>
    <d v="2025-05-19T00:00:00"/>
    <n v="0.98"/>
    <s v="No"/>
    <m/>
    <m/>
    <s v="levelwise "/>
    <n v="3600"/>
    <n v="3600"/>
    <s v="Yes "/>
    <d v="2025-05-19T00:00:00"/>
    <m/>
    <s v="Cash"/>
  </r>
  <r>
    <n v="106"/>
    <s v="A038"/>
    <x v="37"/>
    <s v="A09"/>
    <s v="A038_Aaradhya _A09"/>
    <x v="1"/>
    <s v="Sprinter Level-3"/>
    <n v="400"/>
    <n v="400"/>
    <d v="2025-06-04T00:00:00"/>
    <d v="2025-06-04T00:00:00"/>
    <d v="2025-06-04T00:00:00"/>
    <s v="M-W-4-5"/>
    <m/>
    <m/>
    <m/>
    <m/>
    <m/>
    <m/>
    <m/>
    <m/>
    <m/>
    <s v="Level Wise"/>
    <n v="3600"/>
    <m/>
    <m/>
    <m/>
    <m/>
    <m/>
  </r>
  <r>
    <n v="107"/>
    <s v="A039"/>
    <x v="38"/>
    <s v="A02"/>
    <s v="A039_Prisha Shah_A02"/>
    <x v="2"/>
    <s v="Sr.KG "/>
    <n v="1600"/>
    <n v="1600"/>
    <d v="2024-06-12T00:00:00"/>
    <d v="2024-06-18T00:00:00"/>
    <d v="2024-06-13T00:00:00"/>
    <s v="W-F-6-7"/>
    <m/>
    <n v="16.2"/>
    <n v="130"/>
    <m/>
    <m/>
    <m/>
    <m/>
    <m/>
    <m/>
    <s v="Level Wise"/>
    <n v="3000"/>
    <n v="3000"/>
    <s v="Yes"/>
    <d v="2024-07-06T00:00:00"/>
    <m/>
    <m/>
  </r>
  <r>
    <n v="108"/>
    <s v="A040"/>
    <x v="39"/>
    <s v="A03"/>
    <s v="A040_Arnav Sachin Patil_A03"/>
    <x v="0"/>
    <s v="Runner-1"/>
    <n v="1600"/>
    <n v="1600"/>
    <d v="2024-06-23T00:00:00"/>
    <d v="2024-06-28T00:00:00"/>
    <d v="2024-06-24T00:00:00"/>
    <s v="M-F-7-8"/>
    <d v="2024-10-04T00:00:00"/>
    <n v="3.4"/>
    <n v="28"/>
    <d v="2024-10-04T00:00:00"/>
    <d v="2024-10-04T00:00:00"/>
    <n v="0.93"/>
    <m/>
    <m/>
    <m/>
    <s v="Monthly"/>
    <n v="3600"/>
    <n v="3600"/>
    <s v="Yes"/>
    <d v="2024-09-24T00:00:00"/>
    <n v="3"/>
    <m/>
  </r>
  <r>
    <n v="109"/>
    <s v="A040"/>
    <x v="39"/>
    <s v="A04"/>
    <s v="A040_Arnav Sachin Patil_A04"/>
    <x v="2"/>
    <s v="Runner-2"/>
    <n v="400"/>
    <n v="400"/>
    <d v="2024-10-05T00:00:00"/>
    <d v="2024-10-04T00:00:00"/>
    <d v="2024-10-07T00:00:00"/>
    <s v="M-F-7-8"/>
    <m/>
    <n v="12.333333333333334"/>
    <n v="99"/>
    <m/>
    <m/>
    <m/>
    <m/>
    <m/>
    <m/>
    <s v="Monthly"/>
    <n v="3600"/>
    <n v="4800"/>
    <s v="Yes"/>
    <d v="2025-01-29T00:00:00"/>
    <n v="4"/>
    <s v="gpay"/>
  </r>
  <r>
    <n v="110"/>
    <s v="A041"/>
    <x v="40"/>
    <s v="A02"/>
    <s v="A041_Avyaan Chaumal_A02"/>
    <x v="0"/>
    <s v="Sr.KG"/>
    <n v="1600"/>
    <n v="1600"/>
    <d v="2024-06-23T00:00:00"/>
    <d v="2024-06-24T00:00:00"/>
    <d v="2024-06-24T00:00:00"/>
    <s v="W-F-6-7"/>
    <d v="2024-10-28T00:00:00"/>
    <n v="4.2"/>
    <n v="34"/>
    <d v="2024-10-28T00:00:00"/>
    <d v="2024-10-28T00:00:00"/>
    <n v="1"/>
    <m/>
    <m/>
    <m/>
    <s v="Monthly"/>
    <n v="3600"/>
    <n v="3600"/>
    <s v="Yes"/>
    <d v="2024-10-06T00:00:00"/>
    <n v="3"/>
    <m/>
  </r>
  <r>
    <n v="111"/>
    <s v="A041"/>
    <x v="40"/>
    <s v="A03"/>
    <s v="A041_Avyaan Chaumal_A03"/>
    <x v="2"/>
    <s v="Runner 1"/>
    <n v="400"/>
    <n v="400"/>
    <d v="2024-11-30T00:00:00"/>
    <d v="2024-11-29T00:00:00"/>
    <d v="2024-11-20T00:00:00"/>
    <s v="T-T-6-7"/>
    <m/>
    <n v="10.866666666666667"/>
    <n v="87"/>
    <m/>
    <m/>
    <m/>
    <m/>
    <m/>
    <m/>
    <s v="Monthly "/>
    <n v="3600"/>
    <n v="4800"/>
    <s v="Yes "/>
    <d v="2025-04-10T00:00:00"/>
    <n v="4"/>
    <s v="gpay"/>
  </r>
  <r>
    <n v="112"/>
    <s v="A042"/>
    <x v="41"/>
    <s v="A02"/>
    <s v="A042_Ishanvi Bhatt_A02"/>
    <x v="0"/>
    <s v="Sr.KG"/>
    <n v="1600"/>
    <n v="1600"/>
    <d v="2024-07-02T00:00:00"/>
    <d v="2024-07-02T00:00:00"/>
    <d v="2024-06-27T00:00:00"/>
    <s v="W-F-6-7"/>
    <d v="2024-11-20T00:00:00"/>
    <n v="4.8666666666666663"/>
    <n v="39"/>
    <d v="2024-11-20T00:00:00"/>
    <d v="2024-11-20T00:00:00"/>
    <n v="0.92"/>
    <m/>
    <m/>
    <m/>
    <s v="Monthly"/>
    <n v="6000"/>
    <n v="4800"/>
    <s v="Yes"/>
    <d v="2024-10-25T00:00:00"/>
    <n v="4"/>
    <m/>
  </r>
  <r>
    <n v="113"/>
    <s v="A042"/>
    <x v="41"/>
    <s v="A03"/>
    <s v="A042_Ishanvi Bhatt_A03"/>
    <x v="2"/>
    <s v="Runner 1"/>
    <n v="400"/>
    <n v="400"/>
    <d v="2024-11-29T00:00:00"/>
    <d v="2024-11-27T00:00:00"/>
    <d v="2024-11-27T00:00:00"/>
    <s v="T-T-6-7"/>
    <m/>
    <n v="10.633333333333333"/>
    <n v="86"/>
    <m/>
    <m/>
    <m/>
    <m/>
    <m/>
    <m/>
    <s v="Monthly"/>
    <n v="3600"/>
    <n v="7200"/>
    <s v="Yes "/>
    <d v="2025-04-03T00:00:00"/>
    <n v="6"/>
    <s v="gpay"/>
  </r>
  <r>
    <n v="114"/>
    <s v="A043"/>
    <x v="42"/>
    <s v="A02"/>
    <s v="A043_Divisha Vyawahare_A02"/>
    <x v="0"/>
    <s v="Sr.KG"/>
    <n v="1600"/>
    <n v="1600"/>
    <d v="2024-07-05T00:00:00"/>
    <d v="2024-07-10T00:00:00"/>
    <d v="2024-07-02T00:00:00"/>
    <s v="W-F-6-7"/>
    <d v="2024-11-15T00:00:00"/>
    <n v="4.5333333333333332"/>
    <n v="37"/>
    <d v="2024-11-15T00:00:00"/>
    <d v="2024-11-15T00:00:00"/>
    <n v="1"/>
    <m/>
    <m/>
    <m/>
    <s v="Monthly"/>
    <n v="3600"/>
    <n v="4800"/>
    <s v="Yes"/>
    <d v="2024-10-04T00:00:00"/>
    <n v="4"/>
    <m/>
  </r>
  <r>
    <n v="115"/>
    <s v="A043"/>
    <x v="42"/>
    <s v="A03"/>
    <s v="A043_Divisha Vyawahare_A03"/>
    <x v="2"/>
    <s v="Runner-1"/>
    <n v="400"/>
    <n v="400"/>
    <d v="2024-11-22T00:00:00"/>
    <d v="2024-11-20T00:00:00"/>
    <d v="2024-11-20T00:00:00"/>
    <s v="W-F-6-7"/>
    <m/>
    <n v="10.866666666666667"/>
    <n v="87"/>
    <m/>
    <m/>
    <m/>
    <m/>
    <m/>
    <m/>
    <s v="Monthly"/>
    <n v="3600"/>
    <n v="8400"/>
    <s v="Yes "/>
    <d v="2025-05-13T00:00:00"/>
    <n v="7"/>
    <s v="Gpay "/>
  </r>
  <r>
    <n v="116"/>
    <s v="A044"/>
    <x v="43"/>
    <s v="A01"/>
    <s v="A044_Paridhi Agarwal_A01"/>
    <x v="0"/>
    <s v="Jr.KG"/>
    <n v="1600"/>
    <n v="1600"/>
    <d v="2024-07-18T00:00:00"/>
    <d v="2024-07-19T00:00:00"/>
    <d v="2024-07-17T00:00:00"/>
    <s v="W-F-6-7"/>
    <d v="2024-12-08T00:00:00"/>
    <n v="4.8"/>
    <n v="39"/>
    <d v="2024-12-08T00:00:00"/>
    <d v="2024-12-08T00:00:00"/>
    <n v="1"/>
    <m/>
    <m/>
    <m/>
    <s v="Monthly"/>
    <n v="3600"/>
    <n v="4800"/>
    <s v="Yes"/>
    <d v="2024-12-09T00:00:00"/>
    <n v="3"/>
    <m/>
  </r>
  <r>
    <n v="117"/>
    <s v="A044"/>
    <x v="43"/>
    <s v="A02"/>
    <s v="A044_Paridhi Agarwal_A02"/>
    <x v="1"/>
    <s v="Sr.KG"/>
    <n v="400"/>
    <n v="400"/>
    <d v="2024-12-12T00:00:00"/>
    <d v="2024-12-19T00:00:00"/>
    <d v="2024-12-11T00:00:00"/>
    <s v="T-T-6-7"/>
    <m/>
    <n v="10.166666666666666"/>
    <n v="82"/>
    <m/>
    <m/>
    <m/>
    <m/>
    <m/>
    <m/>
    <s v="Monthly"/>
    <n v="3600"/>
    <n v="2400"/>
    <s v="NO"/>
    <d v="2025-03-07T00:00:00"/>
    <n v="2"/>
    <s v="Gpay "/>
  </r>
  <r>
    <n v="118"/>
    <s v="A045"/>
    <x v="44"/>
    <s v="A02"/>
    <s v="A045_Navya Thakkar_A02"/>
    <x v="0"/>
    <s v="Sr.KG"/>
    <n v="1600"/>
    <n v="1600"/>
    <d v="2024-07-30T00:00:00"/>
    <d v="2024-07-23T00:00:00"/>
    <d v="2024-07-18T00:00:00"/>
    <s v="T-T-6-7"/>
    <d v="2024-11-07T00:00:00"/>
    <n v="3.7333333333333334"/>
    <n v="30"/>
    <d v="2024-11-07T00:00:00"/>
    <d v="2024-11-07T00:00:00"/>
    <n v="0.96"/>
    <m/>
    <m/>
    <m/>
    <s v="Monthly"/>
    <n v="3600"/>
    <n v="3600"/>
    <s v="Yes"/>
    <d v="2024-10-01T00:00:00"/>
    <n v="3"/>
    <m/>
  </r>
  <r>
    <n v="119"/>
    <s v="A045"/>
    <x v="44"/>
    <s v="A03"/>
    <s v="A045_Navya Thakkar_A03"/>
    <x v="1"/>
    <s v="Runner-1"/>
    <n v="400"/>
    <n v="400"/>
    <d v="2024-11-16T00:00:00"/>
    <d v="2024-11-12T00:00:00"/>
    <d v="2024-11-12T00:00:00"/>
    <s v="T-T-6-7"/>
    <m/>
    <n v="11.133333333333333"/>
    <n v="90"/>
    <m/>
    <m/>
    <m/>
    <m/>
    <m/>
    <m/>
    <s v="Monthly"/>
    <n v="3600"/>
    <n v="4800"/>
    <s v="Yes "/>
    <d v="2025-02-22T00:00:00"/>
    <n v="4"/>
    <s v="gpay"/>
  </r>
  <r>
    <n v="120"/>
    <s v="A046"/>
    <x v="45"/>
    <s v="A03"/>
    <s v="A046_Shridnyesh Aher_A03"/>
    <x v="0"/>
    <s v="Runner 1"/>
    <n v="1600"/>
    <n v="1600"/>
    <d v="2024-08-05T00:00:00"/>
    <d v="2024-08-05T00:00:00"/>
    <d v="2024-08-05T00:00:00"/>
    <s v="SAT-4-6"/>
    <d v="2025-01-11T00:00:00"/>
    <n v="5.3"/>
    <n v="43"/>
    <d v="2025-01-11T00:00:00"/>
    <d v="2025-01-11T00:00:00"/>
    <n v="0.98"/>
    <m/>
    <m/>
    <m/>
    <s v="Monthly"/>
    <n v="3600"/>
    <n v="7200"/>
    <s v="Yes"/>
    <d v="2025-01-02T00:00:00"/>
    <n v="5"/>
    <m/>
  </r>
  <r>
    <n v="121"/>
    <s v="A046"/>
    <x v="45"/>
    <s v="A04"/>
    <s v="A046_Shridnyesh Aher_A04"/>
    <x v="1"/>
    <s v="Runner-2"/>
    <n v="400"/>
    <n v="400"/>
    <m/>
    <d v="2025-01-18T00:00:00"/>
    <d v="2025-01-18T00:00:00"/>
    <s v="SAT-4-6"/>
    <m/>
    <m/>
    <m/>
    <m/>
    <m/>
    <m/>
    <m/>
    <m/>
    <m/>
    <s v="Monthly"/>
    <n v="3600"/>
    <n v="3600"/>
    <s v="NO"/>
    <d v="2025-07-26T00:00:00"/>
    <n v="3"/>
    <s v="phone pay "/>
  </r>
  <r>
    <n v="122"/>
    <s v="A047"/>
    <x v="46"/>
    <s v="A02"/>
    <s v="A047_Arnish Jhamtani_A02"/>
    <x v="0"/>
    <s v="Sr.KG"/>
    <n v="1600"/>
    <n v="1600"/>
    <d v="2024-08-04T00:00:00"/>
    <d v="2024-08-15T00:00:00"/>
    <d v="2024-08-15T00:00:00"/>
    <s v="SAT-4-6"/>
    <d v="2024-10-26T00:00:00"/>
    <n v="2.4"/>
    <n v="20"/>
    <d v="2024-10-26T00:00:00"/>
    <d v="2024-10-26T00:00:00"/>
    <n v="1"/>
    <m/>
    <m/>
    <m/>
    <s v="Level Wise"/>
    <n v="3600"/>
    <n v="3600"/>
    <s v="Yes"/>
    <d v="2024-08-24T00:00:00"/>
    <n v="3"/>
    <m/>
  </r>
  <r>
    <n v="123"/>
    <s v="A047"/>
    <x v="46"/>
    <s v="A03"/>
    <s v="A047_Arnish Jhamtani_A03"/>
    <x v="0"/>
    <s v="Runner 1"/>
    <n v="400"/>
    <n v="400"/>
    <d v="2024-11-20T00:00:00"/>
    <d v="2024-10-26T00:00:00"/>
    <d v="2024-10-26T00:00:00"/>
    <s v="M-F-7-8"/>
    <d v="2025-03-31T00:00:00"/>
    <n v="5.2"/>
    <n v="42"/>
    <d v="2025-03-31T00:00:00"/>
    <d v="2025-03-31T00:00:00"/>
    <n v="1"/>
    <m/>
    <m/>
    <m/>
    <s v="Level Wise"/>
    <n v="3600"/>
    <n v="3600"/>
    <s v="Yes"/>
    <d v="2024-11-20T00:00:00"/>
    <m/>
    <m/>
  </r>
  <r>
    <n v="124"/>
    <s v="A047"/>
    <x v="46"/>
    <s v="A04"/>
    <s v="A047_Arnish Jhamtani_A04"/>
    <x v="3"/>
    <s v="Runner 2"/>
    <n v="400"/>
    <n v="400"/>
    <d v="2025-04-09T00:00:00"/>
    <d v="2025-03-31T00:00:00"/>
    <d v="2025-03-31T00:00:00"/>
    <s v="M-W-7-8"/>
    <d v="2025-05-20T00:00:00"/>
    <m/>
    <m/>
    <d v="2025-05-20T00:00:00"/>
    <d v="2025-05-20T00:00:00"/>
    <n v="0.9"/>
    <m/>
    <m/>
    <m/>
    <s v="Level Wise"/>
    <n v="3600"/>
    <n v="3600"/>
    <s v="Yes "/>
    <d v="2025-04-09T00:00:00"/>
    <m/>
    <s v="Gpay "/>
  </r>
  <r>
    <n v="125"/>
    <s v="A047"/>
    <x v="46"/>
    <s v="A04"/>
    <s v="A047_Arnish Jhamtani_A04"/>
    <x v="1"/>
    <s v="Runner 3"/>
    <n v="400"/>
    <n v="400"/>
    <d v="2025-06-04T00:00:00"/>
    <d v="2025-06-04T00:00:00"/>
    <d v="2025-06-04T00:00:00"/>
    <s v="M-W-7-8"/>
    <m/>
    <m/>
    <m/>
    <m/>
    <m/>
    <m/>
    <m/>
    <m/>
    <m/>
    <s v="Level Wise"/>
    <n v="3600"/>
    <n v="3600"/>
    <s v="Yes "/>
    <d v="2025-06-11T00:00:00"/>
    <n v="3"/>
    <s v="gpay"/>
  </r>
  <r>
    <n v="126"/>
    <s v="A048"/>
    <x v="47"/>
    <s v="A03"/>
    <s v="A048_Vedant Kumar_A03"/>
    <x v="1"/>
    <s v="Sprinter-1"/>
    <n v="1600"/>
    <n v="1600"/>
    <d v="2024-08-05T00:00:00"/>
    <d v="2024-08-15T00:00:00"/>
    <d v="2024-08-15T00:00:00"/>
    <s v="M-F-7-8"/>
    <m/>
    <n v="14.1"/>
    <n v="113"/>
    <m/>
    <m/>
    <m/>
    <m/>
    <m/>
    <m/>
    <s v="Monthly"/>
    <n v="3600"/>
    <n v="15600"/>
    <s v="Yes"/>
    <d v="2025-09-03T00:00:00"/>
    <n v="13"/>
    <s v="Gpay "/>
  </r>
  <r>
    <n v="127"/>
    <s v="A049"/>
    <x v="48"/>
    <s v="A03"/>
    <s v="A049_Archit Shette_A03"/>
    <x v="2"/>
    <s v="Runner 1"/>
    <n v="1600"/>
    <n v="1600"/>
    <d v="2024-08-25T00:00:00"/>
    <d v="2024-08-27T00:00:00"/>
    <d v="2024-08-27T00:00:00"/>
    <s v="T-T-6-7"/>
    <m/>
    <n v="13.7"/>
    <n v="110"/>
    <m/>
    <m/>
    <m/>
    <m/>
    <m/>
    <m/>
    <s v="Monthly"/>
    <n v="3600"/>
    <n v="2400"/>
    <s v="Y"/>
    <d v="2024-10-06T00:00:00"/>
    <n v="2"/>
    <m/>
  </r>
  <r>
    <n v="128"/>
    <s v="A050"/>
    <x v="49"/>
    <s v="A03"/>
    <s v="A050_Arnav Pol_A03"/>
    <x v="0"/>
    <s v="Runner-1"/>
    <n v="900"/>
    <n v="900"/>
    <d v="2024-09-11T00:00:00"/>
    <d v="2024-08-31T00:00:00"/>
    <d v="2024-08-31T00:00:00"/>
    <s v="Sun 4-6"/>
    <d v="2025-02-26T00:00:00"/>
    <n v="5.9666666666666668"/>
    <n v="48"/>
    <d v="2025-02-26T00:00:00"/>
    <d v="2025-02-26T00:00:00"/>
    <n v="0.87"/>
    <s v="yes"/>
    <m/>
    <s v="Y"/>
    <s v="Monthly"/>
    <n v="3600"/>
    <n v="7200"/>
    <s v="Yes"/>
    <d v="2025-03-13T00:00:00"/>
    <n v="6"/>
    <s v="gpay"/>
  </r>
  <r>
    <n v="129"/>
    <s v="A050"/>
    <x v="49"/>
    <s v="A04"/>
    <s v="A050_Arnav Pol_A04"/>
    <x v="1"/>
    <s v="Runner -2"/>
    <n v="400"/>
    <n v="400"/>
    <d v="2025-03-13T00:00:00"/>
    <d v="2025-03-09T00:00:00"/>
    <d v="2025-03-09T00:00:00"/>
    <s v="Sun 4 -6"/>
    <m/>
    <m/>
    <m/>
    <m/>
    <m/>
    <m/>
    <m/>
    <m/>
    <m/>
    <s v="Monthly "/>
    <n v="3600"/>
    <n v="1200"/>
    <s v="NO"/>
    <d v="2025-03-13T00:00:00"/>
    <n v="1"/>
    <m/>
  </r>
  <r>
    <n v="130"/>
    <s v="A051"/>
    <x v="50"/>
    <s v="A04"/>
    <s v="A051_Mahir Gandhi_A04"/>
    <x v="3"/>
    <s v="Runner-2"/>
    <n v="800"/>
    <n v="800"/>
    <d v="2024-09-11T00:00:00"/>
    <d v="2024-09-16T00:00:00"/>
    <d v="2024-09-11T00:00:00"/>
    <s v="M-W-4-5"/>
    <d v="2025-01-15T00:00:00"/>
    <n v="4.2"/>
    <n v="34"/>
    <d v="2025-01-15T00:00:00"/>
    <d v="2025-01-15T00:00:00"/>
    <n v="0.9"/>
    <m/>
    <m/>
    <m/>
    <s v="Monthly"/>
    <n v="3600"/>
    <n v="3600"/>
    <s v="Yes "/>
    <d v="2025-02-03T00:00:00"/>
    <n v="3"/>
    <m/>
  </r>
  <r>
    <n v="131"/>
    <s v="A051"/>
    <x v="50"/>
    <s v="A05"/>
    <s v="A051_Mahir Gandhi_A05"/>
    <x v="1"/>
    <s v="Runner -3"/>
    <n v="0"/>
    <n v="0"/>
    <d v="2025-02-03T00:00:00"/>
    <d v="2025-02-03T00:00:00"/>
    <d v="2025-02-03T00:00:00"/>
    <s v="M-W-4-5"/>
    <m/>
    <m/>
    <m/>
    <m/>
    <m/>
    <m/>
    <m/>
    <m/>
    <m/>
    <s v="Monthly "/>
    <n v="3600"/>
    <n v="3600"/>
    <s v="Yes "/>
    <d v="2025-07-12T00:00:00"/>
    <n v="3"/>
    <s v="gpay"/>
  </r>
  <r>
    <n v="132"/>
    <s v="A052"/>
    <x v="51"/>
    <s v="A03"/>
    <s v="A052_Vivaan Garg_A03"/>
    <x v="0"/>
    <s v="Runner 1"/>
    <n v="1600"/>
    <n v="1600"/>
    <d v="2024-09-09T00:00:00"/>
    <d v="2024-09-15T00:00:00"/>
    <d v="2024-09-15T00:00:00"/>
    <s v="Sun 4-6"/>
    <d v="2025-07-05T00:00:00"/>
    <n v="9.7666666666666675"/>
    <n v="79"/>
    <m/>
    <m/>
    <m/>
    <m/>
    <m/>
    <m/>
    <s v="Monthly"/>
    <n v="3600"/>
    <n v="8400"/>
    <s v="NO"/>
    <d v="2025-05-10T00:00:00"/>
    <n v="7"/>
    <s v="gpay"/>
  </r>
  <r>
    <n v="133"/>
    <s v="A052"/>
    <x v="51"/>
    <s v="A04"/>
    <s v="A052_Vivaan Garg_A04"/>
    <x v="1"/>
    <s v="Runner 2"/>
    <n v="400"/>
    <m/>
    <m/>
    <m/>
    <m/>
    <m/>
    <m/>
    <m/>
    <m/>
    <m/>
    <m/>
    <m/>
    <m/>
    <m/>
    <m/>
    <s v="Monthly"/>
    <m/>
    <m/>
    <m/>
    <m/>
    <m/>
    <m/>
  </r>
  <r>
    <n v="134"/>
    <s v="A053"/>
    <x v="52"/>
    <s v="A03"/>
    <s v="A053_Jaanvi Nitin Khandagale_A03"/>
    <x v="0"/>
    <s v="Runner 1"/>
    <n v="1600"/>
    <n v="1600"/>
    <d v="2024-09-22T00:00:00"/>
    <d v="2024-09-22T00:00:00"/>
    <d v="2024-09-22T00:00:00"/>
    <s v="Sun 4-6"/>
    <d v="2025-02-23T00:00:00"/>
    <n v="5.1333333333333337"/>
    <n v="42"/>
    <d v="2025-02-23T00:00:00"/>
    <d v="2025-02-23T00:00:00"/>
    <n v="0.98"/>
    <s v="yes"/>
    <m/>
    <s v="Y"/>
    <s v="Monthly "/>
    <n v="3600"/>
    <n v="7200"/>
    <s v="Yes"/>
    <d v="2025-04-02T00:00:00"/>
    <n v="6"/>
    <s v="phone pay "/>
  </r>
  <r>
    <n v="135"/>
    <s v="A053"/>
    <x v="52"/>
    <s v="A04"/>
    <s v="A053_Jaanvi Nitin Khandagale_A04"/>
    <x v="2"/>
    <s v="Runner 2"/>
    <n v="400"/>
    <n v="400"/>
    <d v="2025-04-02T00:00:00"/>
    <d v="2025-04-02T00:00:00"/>
    <d v="2025-04-02T00:00:00"/>
    <s v="Sun 4-6"/>
    <m/>
    <m/>
    <m/>
    <m/>
    <m/>
    <m/>
    <m/>
    <m/>
    <m/>
    <s v="Monthly"/>
    <n v="3600"/>
    <n v="1200"/>
    <s v="NO"/>
    <d v="2025-04-02T00:00:00"/>
    <n v="1"/>
    <s v="phone pay "/>
  </r>
  <r>
    <n v="136"/>
    <s v="A054"/>
    <x v="53"/>
    <s v="A01"/>
    <s v="A054_Rumi Pandita_A01"/>
    <x v="0"/>
    <s v="Jr.KG"/>
    <n v="1600"/>
    <n v="1600"/>
    <d v="2024-10-11T00:00:00"/>
    <d v="2024-10-12T00:00:00"/>
    <d v="2024-09-27T00:00:00"/>
    <s v="Sun 4-6"/>
    <d v="2025-03-02T00:00:00"/>
    <n v="5.2"/>
    <n v="42"/>
    <d v="2025-03-02T00:00:00"/>
    <d v="2025-03-02T00:00:00"/>
    <n v="1"/>
    <s v="yes"/>
    <n v="4"/>
    <m/>
    <s v="Monthly "/>
    <n v="3600"/>
    <n v="4800"/>
    <s v="NO"/>
    <d v="2025-02-04T00:00:00"/>
    <n v="4"/>
    <s v="gpay"/>
  </r>
  <r>
    <n v="137"/>
    <s v="A054"/>
    <x v="53"/>
    <s v="A02"/>
    <m/>
    <x v="2"/>
    <s v="Sr.KG"/>
    <n v="400"/>
    <n v="400"/>
    <d v="2025-03-09T00:00:00"/>
    <d v="2025-03-09T00:00:00"/>
    <d v="2025-04-09T00:00:00"/>
    <s v="Sun 4-6"/>
    <m/>
    <m/>
    <m/>
    <m/>
    <m/>
    <m/>
    <m/>
    <m/>
    <m/>
    <s v="Monthly"/>
    <n v="3600"/>
    <n v="1200"/>
    <s v="NO"/>
    <d v="2025-04-13T00:00:00"/>
    <n v="1"/>
    <s v="gpay"/>
  </r>
  <r>
    <n v="138"/>
    <s v="A055"/>
    <x v="54"/>
    <s v="A02"/>
    <s v="A055_Yugansh Pawar_A02"/>
    <x v="0"/>
    <s v="Sr.KG."/>
    <n v="600"/>
    <n v="600"/>
    <d v="2024-10-02T00:00:00"/>
    <d v="2024-10-09T00:00:00"/>
    <d v="2024-10-02T00:00:00"/>
    <s v="W-F-6-7"/>
    <d v="2025-01-26T00:00:00"/>
    <n v="3.8666666666666667"/>
    <n v="31"/>
    <d v="2025-01-26T00:00:00"/>
    <d v="2025-01-26T00:00:00"/>
    <n v="1"/>
    <s v="yes"/>
    <n v="3"/>
    <d v="2025-01-26T00:00:00"/>
    <s v="Level Wise"/>
    <n v="3000"/>
    <n v="3000"/>
    <s v="Yes"/>
    <d v="2025-01-27T00:00:00"/>
    <n v="4"/>
    <s v="Gpay "/>
  </r>
  <r>
    <n v="139"/>
    <s v="A055"/>
    <x v="54"/>
    <s v="A03"/>
    <m/>
    <x v="1"/>
    <s v="Runner 1"/>
    <n v="400"/>
    <n v="400"/>
    <d v="2025-01-27T00:00:00"/>
    <d v="2025-02-05T00:00:00"/>
    <d v="2025-02-05T00:00:00"/>
    <s v="M-W-6-7"/>
    <m/>
    <m/>
    <m/>
    <m/>
    <m/>
    <m/>
    <m/>
    <m/>
    <m/>
    <s v="Level Wise"/>
    <n v="3600"/>
    <m/>
    <m/>
    <m/>
    <m/>
    <m/>
  </r>
  <r>
    <n v="140"/>
    <s v="A056"/>
    <x v="55"/>
    <s v="A02"/>
    <s v="A056_Hridhaan Bagla_A02"/>
    <x v="0"/>
    <s v="Sr.KG"/>
    <n v="600"/>
    <n v="600"/>
    <d v="2024-10-16T00:00:00"/>
    <d v="2024-10-18T00:00:00"/>
    <d v="2024-10-18T00:00:00"/>
    <s v="W-F-6-7"/>
    <d v="2025-03-05T00:00:00"/>
    <n v="4.5999999999999996"/>
    <n v="37"/>
    <d v="2025-03-05T00:00:00"/>
    <d v="2025-03-05T00:00:00"/>
    <n v="0.86"/>
    <s v="yes"/>
    <n v="4"/>
    <m/>
    <s v="Monthly"/>
    <n v="3600"/>
    <n v="6000"/>
    <s v="Yes"/>
    <d v="2025-02-27T00:00:00"/>
    <n v="5"/>
    <s v="gpay"/>
  </r>
  <r>
    <n v="141"/>
    <s v="A056"/>
    <x v="55"/>
    <s v="A03"/>
    <m/>
    <x v="1"/>
    <s v="Runner 1"/>
    <n v="400"/>
    <n v="400"/>
    <d v="2025-03-23T00:00:00"/>
    <d v="2025-03-23T00:00:00"/>
    <d v="2025-03-23T00:00:00"/>
    <s v="M-W-6-7"/>
    <m/>
    <m/>
    <m/>
    <m/>
    <m/>
    <m/>
    <m/>
    <m/>
    <m/>
    <s v="Monthly"/>
    <n v="3600"/>
    <n v="4800"/>
    <s v="NO"/>
    <d v="2025-07-21T00:00:00"/>
    <n v="4"/>
    <s v="Gpay "/>
  </r>
  <r>
    <n v="142"/>
    <s v="A057"/>
    <x v="56"/>
    <s v="A03"/>
    <s v="A057_Tanvi Naik_A03"/>
    <x v="2"/>
    <s v="Runner-1"/>
    <n v="1600"/>
    <n v="1600"/>
    <d v="2024-11-10T00:00:00"/>
    <d v="2024-11-12T00:00:00"/>
    <d v="2024-11-12T00:00:00"/>
    <s v="T-T-6-7"/>
    <m/>
    <n v="11.133333333333333"/>
    <n v="90"/>
    <m/>
    <m/>
    <m/>
    <m/>
    <m/>
    <m/>
    <s v="Monthly"/>
    <n v="3600"/>
    <n v="1200"/>
    <s v="Yes"/>
    <d v="2024-11-24T00:00:00"/>
    <n v="1"/>
    <m/>
  </r>
  <r>
    <n v="143"/>
    <s v="A058"/>
    <x v="57"/>
    <s v="A03"/>
    <s v="A058_Advik  Khadelwal_A03"/>
    <x v="0"/>
    <s v="Runner 1"/>
    <n v="1600"/>
    <n v="1600"/>
    <d v="2024-11-20T00:00:00"/>
    <d v="2024-11-20T00:00:00"/>
    <d v="2024-11-20T00:00:00"/>
    <s v="M-W-4-5"/>
    <d v="2025-03-05T00:00:00"/>
    <n v="3.5"/>
    <n v="28"/>
    <d v="2025-03-05T00:00:00"/>
    <d v="2025-03-05T00:00:00"/>
    <n v="0.98"/>
    <s v="yes"/>
    <m/>
    <d v="2025-03-31T00:00:00"/>
    <s v="Monthly"/>
    <n v="3600"/>
    <n v="3600"/>
    <s v="Yes"/>
    <d v="2025-03-04T00:00:00"/>
    <n v="3"/>
    <s v="gpay"/>
  </r>
  <r>
    <n v="144"/>
    <s v="A058"/>
    <x v="57"/>
    <s v="A04"/>
    <m/>
    <x v="0"/>
    <s v="Runner 2"/>
    <n v="400"/>
    <n v="400"/>
    <d v="2025-03-07T00:00:00"/>
    <d v="2025-03-05T00:00:00"/>
    <d v="2025-03-05T00:00:00"/>
    <s v="M-W-4-5"/>
    <d v="2025-05-06T00:00:00"/>
    <m/>
    <m/>
    <d v="2025-05-06T00:00:00"/>
    <d v="2025-05-06T00:00:00"/>
    <n v="0.94"/>
    <s v="No"/>
    <m/>
    <m/>
    <s v="Monthly"/>
    <n v="3600"/>
    <n v="3600"/>
    <s v="Yes "/>
    <d v="2025-05-22T00:00:00"/>
    <n v="2"/>
    <s v="Gpay "/>
  </r>
  <r>
    <n v="145"/>
    <s v="A058"/>
    <x v="57"/>
    <s v="A05"/>
    <m/>
    <x v="0"/>
    <s v="Runner -3"/>
    <n v="400"/>
    <n v="400"/>
    <d v="2025-05-22T00:00:00"/>
    <d v="2025-05-06T00:00:00"/>
    <d v="2025-05-06T00:00:00"/>
    <s v="M-W-7-8"/>
    <d v="2025-07-10T00:00:00"/>
    <m/>
    <m/>
    <d v="2025-07-10T00:00:00"/>
    <d v="2025-07-10T00:00:00"/>
    <m/>
    <s v="No"/>
    <m/>
    <m/>
    <s v="Monthly"/>
    <n v="3600"/>
    <n v="2400"/>
    <s v="NO"/>
    <d v="2025-07-22T00:00:00"/>
    <n v="2"/>
    <s v="Gpay "/>
  </r>
  <r>
    <m/>
    <s v="A058"/>
    <x v="57"/>
    <s v="A05"/>
    <m/>
    <x v="0"/>
    <s v="Runner -4"/>
    <n v="400"/>
    <n v="400"/>
    <d v="2025-08-24T00:00:00"/>
    <d v="2025-07-10T00:00:00"/>
    <d v="2025-07-10T00:00:00"/>
    <s v="M-W-4-5"/>
    <m/>
    <m/>
    <m/>
    <m/>
    <m/>
    <m/>
    <m/>
    <m/>
    <m/>
    <s v="Monthly"/>
    <n v="3600"/>
    <n v="1200"/>
    <s v="NO"/>
    <d v="2025-08-24T00:00:00"/>
    <n v="1"/>
    <s v="Gpay "/>
  </r>
  <r>
    <n v="146"/>
    <s v="A059"/>
    <x v="58"/>
    <s v="A02"/>
    <s v="A059_Prisha Deshmukh_A02"/>
    <x v="2"/>
    <s v="Sr.KG."/>
    <n v="600"/>
    <n v="600"/>
    <d v="2024-11-20T00:00:00"/>
    <d v="2024-11-20T00:00:00"/>
    <d v="2024-11-19T00:00:00"/>
    <s v="Daily-4-5"/>
    <m/>
    <n v="10.9"/>
    <n v="88"/>
    <m/>
    <m/>
    <m/>
    <m/>
    <m/>
    <m/>
    <s v="Monthly"/>
    <n v="2500"/>
    <n v="2500"/>
    <s v="Yes "/>
    <d v="2025-01-14T00:00:00"/>
    <n v="2"/>
    <s v="Phone Pay"/>
  </r>
  <r>
    <n v="147"/>
    <s v="A060"/>
    <x v="59"/>
    <s v="A02"/>
    <s v="A060_Riaan Deshmukh_A02"/>
    <x v="2"/>
    <s v="Sr.KG."/>
    <n v="600"/>
    <n v="600"/>
    <d v="2024-11-20T00:00:00"/>
    <d v="2024-11-20T00:00:00"/>
    <d v="2024-11-19T00:00:00"/>
    <s v="Daily-4-5"/>
    <m/>
    <n v="10.9"/>
    <n v="88"/>
    <m/>
    <m/>
    <m/>
    <m/>
    <m/>
    <m/>
    <s v="Monthly"/>
    <n v="2500"/>
    <n v="2500"/>
    <s v="Yes"/>
    <d v="2025-01-20T00:00:00"/>
    <n v="2"/>
    <s v="phone pay "/>
  </r>
  <r>
    <n v="148"/>
    <s v="A061"/>
    <x v="60"/>
    <s v="A03"/>
    <s v="A061_Kaira Sharma_A03"/>
    <x v="2"/>
    <s v="Runner-1"/>
    <n v="1600"/>
    <n v="1600"/>
    <d v="2024-12-03T00:00:00"/>
    <d v="2024-12-08T00:00:00"/>
    <d v="2024-12-01T00:00:00"/>
    <s v="Sun 4-6"/>
    <m/>
    <n v="10.5"/>
    <n v="84"/>
    <m/>
    <m/>
    <m/>
    <m/>
    <m/>
    <m/>
    <s v="Monthly"/>
    <n v="3600"/>
    <n v="3600"/>
    <s v="Yes"/>
    <d v="2025-04-22T00:00:00"/>
    <n v="3"/>
    <s v="Paytm "/>
  </r>
  <r>
    <n v="149"/>
    <s v="A062"/>
    <x v="61"/>
    <s v="A03"/>
    <s v="A062_Kabeer  Kherajani_A03"/>
    <x v="3"/>
    <s v="Runner-1"/>
    <n v="400"/>
    <n v="400"/>
    <d v="2024-12-09T00:00:00"/>
    <d v="2024-12-09T00:00:00"/>
    <d v="2024-12-02T00:00:00"/>
    <s v="M-W-4-5"/>
    <d v="2025-04-28T00:00:00"/>
    <n v="4.9000000000000004"/>
    <n v="40"/>
    <d v="2025-04-28T00:00:00"/>
    <d v="2025-04-28T00:00:00"/>
    <n v="0.98"/>
    <s v="yes"/>
    <n v="5"/>
    <m/>
    <s v="Monthly "/>
    <n v="3600"/>
    <n v="6000"/>
    <s v="Yes"/>
    <d v="2025-04-22T00:00:00"/>
    <n v="5"/>
    <s v="gpay"/>
  </r>
  <r>
    <n v="150"/>
    <s v="A062"/>
    <x v="62"/>
    <s v="A04"/>
    <m/>
    <x v="3"/>
    <s v="Runner -2"/>
    <n v="400"/>
    <n v="400"/>
    <d v="2025-04-29T00:00:00"/>
    <d v="2025-04-28T00:00:00"/>
    <d v="2025-04-28T00:00:00"/>
    <s v="M-W-7-8"/>
    <d v="2025-07-21T00:00:00"/>
    <m/>
    <m/>
    <d v="2025-07-21T00:00:00"/>
    <d v="2025-07-21T00:00:00"/>
    <n v="0.98"/>
    <s v="N"/>
    <m/>
    <m/>
    <s v="Monthly "/>
    <n v="3600"/>
    <n v="2400"/>
    <s v="NO"/>
    <d v="2025-07-22T00:00:00"/>
    <n v="2"/>
    <s v="Gpay "/>
  </r>
  <r>
    <n v="151"/>
    <s v="A062"/>
    <x v="62"/>
    <s v="A05"/>
    <m/>
    <x v="1"/>
    <s v="Runner -3"/>
    <n v="400"/>
    <n v="400"/>
    <d v="2025-07-23T00:00:00"/>
    <d v="2025-07-21T00:00:00"/>
    <d v="2025-07-21T00:00:00"/>
    <s v="M-W-4-5"/>
    <m/>
    <m/>
    <m/>
    <m/>
    <m/>
    <m/>
    <m/>
    <m/>
    <m/>
    <s v="Monthly"/>
    <n v="3600"/>
    <m/>
    <m/>
    <m/>
    <m/>
    <m/>
  </r>
  <r>
    <n v="152"/>
    <s v="A063"/>
    <x v="63"/>
    <s v="A03"/>
    <s v="A063_Nivaan Keswani_A03"/>
    <x v="2"/>
    <s v="Runner-1"/>
    <n v="400"/>
    <n v="400"/>
    <d v="2024-12-09T00:00:00"/>
    <d v="2024-12-09T00:00:00"/>
    <d v="2024-12-04T00:00:00"/>
    <s v="M-W-4-5"/>
    <m/>
    <n v="10.4"/>
    <n v="84"/>
    <m/>
    <m/>
    <m/>
    <m/>
    <m/>
    <m/>
    <s v="Monthly"/>
    <n v="3600"/>
    <n v="1200"/>
    <s v="NO"/>
    <d v="2024-12-09T00:00:00"/>
    <n v="1"/>
    <m/>
  </r>
  <r>
    <n v="153"/>
    <s v="A064"/>
    <x v="64"/>
    <s v="A03"/>
    <s v="A064_Samyak Bora_A03"/>
    <x v="3"/>
    <s v="Runner-1"/>
    <n v="600"/>
    <n v="600"/>
    <d v="2024-12-10T00:00:00"/>
    <d v="2024-12-09T00:00:00"/>
    <d v="2024-12-03T00:00:00"/>
    <s v="Daily "/>
    <d v="2025-02-03T00:00:00"/>
    <n v="2.0666666666666669"/>
    <n v="17"/>
    <m/>
    <m/>
    <n v="1"/>
    <s v="yes"/>
    <m/>
    <m/>
    <s v="Level Wise"/>
    <n v="3600"/>
    <n v="3600"/>
    <s v="Yes"/>
    <d v="2025-02-06T00:00:00"/>
    <n v="2"/>
    <s v="Gpay "/>
  </r>
  <r>
    <n v="154"/>
    <s v="A064"/>
    <x v="64"/>
    <s v="A04"/>
    <m/>
    <x v="3"/>
    <s v="Runner 2"/>
    <n v="400"/>
    <n v="400"/>
    <d v="2025-02-06T00:00:00"/>
    <d v="2025-02-06T00:00:00"/>
    <d v="2025-02-06T00:00:00"/>
    <s v="Daily"/>
    <s v="26--Mar-25"/>
    <m/>
    <m/>
    <d v="2025-03-26T00:00:00"/>
    <d v="2025-03-26T00:00:00"/>
    <n v="0.92"/>
    <s v="No"/>
    <m/>
    <m/>
    <s v="Levelwise"/>
    <n v="3600"/>
    <n v="3600"/>
    <s v="Yes"/>
    <d v="2025-03-30T00:00:00"/>
    <n v="3"/>
    <s v="Gpay "/>
  </r>
  <r>
    <n v="155"/>
    <s v="A064"/>
    <x v="64"/>
    <s v="A05"/>
    <m/>
    <x v="0"/>
    <s v="Runner-3"/>
    <n v="400"/>
    <n v="400"/>
    <d v="2025-03-30T00:00:00"/>
    <d v="2025-03-27T00:00:00"/>
    <d v="2025-03-27T00:00:00"/>
    <s v="Daily "/>
    <d v="2025-05-09T00:00:00"/>
    <m/>
    <m/>
    <d v="2025-05-09T00:00:00"/>
    <d v="2025-05-09T00:00:00"/>
    <n v="0.99"/>
    <s v="No"/>
    <m/>
    <m/>
    <s v="Level Wise"/>
    <n v="3600"/>
    <n v="3600"/>
    <s v="Yes"/>
    <d v="2025-05-12T00:00:00"/>
    <m/>
    <s v="gpay"/>
  </r>
  <r>
    <n v="156"/>
    <s v="A064"/>
    <x v="64"/>
    <s v="A06"/>
    <m/>
    <x v="1"/>
    <s v="Runner-4"/>
    <n v="400"/>
    <m/>
    <d v="2025-08-02T00:00:00"/>
    <d v="2025-08-02T00:00:00"/>
    <d v="2025-08-02T00:00:00"/>
    <s v="Daily "/>
    <m/>
    <m/>
    <m/>
    <m/>
    <m/>
    <m/>
    <m/>
    <m/>
    <m/>
    <s v="Level Wise"/>
    <n v="3600"/>
    <m/>
    <m/>
    <m/>
    <m/>
    <m/>
  </r>
  <r>
    <n v="157"/>
    <s v="A065"/>
    <x v="65"/>
    <s v="A03"/>
    <s v="A065_Satvika Yadav_A03"/>
    <x v="2"/>
    <s v="Runner-1"/>
    <n v="600"/>
    <n v="600"/>
    <d v="2024-12-11T00:00:00"/>
    <d v="2024-12-12T00:00:00"/>
    <d v="2024-12-01T00:00:00"/>
    <s v="T-T-6-7"/>
    <m/>
    <n v="10.5"/>
    <n v="84"/>
    <m/>
    <m/>
    <m/>
    <m/>
    <m/>
    <m/>
    <s v="Level Wise"/>
    <n v="3600"/>
    <n v="3600"/>
    <s v="Yes"/>
    <d v="2024-12-11T00:00:00"/>
    <m/>
    <m/>
  </r>
  <r>
    <n v="158"/>
    <s v="A066"/>
    <x v="66"/>
    <s v="A02"/>
    <s v="A066_Hitansh Agarwal_A02"/>
    <x v="0"/>
    <s v="Sr.KG"/>
    <n v="1600"/>
    <n v="1600"/>
    <d v="2025-01-20T00:00:00"/>
    <d v="2025-01-23T00:00:00"/>
    <d v="2025-01-21T00:00:00"/>
    <s v="T-T-6-7"/>
    <d v="2025-05-05T00:00:00"/>
    <m/>
    <m/>
    <d v="2025-05-03T00:00:00"/>
    <d v="2025-05-05T00:00:00"/>
    <n v="0.96"/>
    <s v="yes"/>
    <n v="5"/>
    <m/>
    <s v="Monthly "/>
    <n v="3600"/>
    <n v="3600"/>
    <s v="Yes"/>
    <d v="2025-05-05T00:00:00"/>
    <n v="3"/>
    <s v="Cash"/>
  </r>
  <r>
    <n v="159"/>
    <s v="A066"/>
    <x v="66"/>
    <s v="A03"/>
    <s v="A066_Hitansh Agarwal_A03"/>
    <x v="1"/>
    <s v="Runner 1"/>
    <n v="400"/>
    <m/>
    <m/>
    <m/>
    <m/>
    <m/>
    <m/>
    <m/>
    <m/>
    <m/>
    <m/>
    <m/>
    <m/>
    <m/>
    <m/>
    <m/>
    <m/>
    <m/>
    <m/>
    <m/>
    <m/>
    <m/>
  </r>
  <r>
    <n v="160"/>
    <s v="A067"/>
    <x v="67"/>
    <s v="A02"/>
    <s v="A067_Hitanshi Agarwal_A02"/>
    <x v="0"/>
    <s v="Sr.KG"/>
    <n v="1600"/>
    <n v="1600"/>
    <d v="2025-01-20T00:00:00"/>
    <d v="2025-01-23T00:00:00"/>
    <d v="2025-01-21T00:00:00"/>
    <s v="T-T-6-7"/>
    <d v="2025-05-03T00:00:00"/>
    <m/>
    <m/>
    <d v="2025-05-03T00:00:00"/>
    <d v="2025-05-03T00:00:00"/>
    <n v="1"/>
    <s v="yes"/>
    <n v="5"/>
    <m/>
    <s v="Monthly "/>
    <n v="3600"/>
    <n v="3600"/>
    <s v="Yes"/>
    <d v="2025-05-05T00:00:00"/>
    <n v="3"/>
    <s v="Cash"/>
  </r>
  <r>
    <n v="161"/>
    <s v="A067"/>
    <x v="67"/>
    <s v="A03"/>
    <s v="A067_Hitanshi Agarwal_A03"/>
    <x v="1"/>
    <s v="Runner 1"/>
    <n v="400"/>
    <m/>
    <m/>
    <m/>
    <m/>
    <m/>
    <m/>
    <m/>
    <m/>
    <m/>
    <m/>
    <m/>
    <m/>
    <m/>
    <m/>
    <m/>
    <m/>
    <m/>
    <m/>
    <m/>
    <m/>
    <m/>
  </r>
  <r>
    <n v="162"/>
    <s v="A068"/>
    <x v="68"/>
    <s v="A03"/>
    <s v="A068_Manan Garg_A03"/>
    <x v="0"/>
    <s v="Runner 1"/>
    <n v="1600"/>
    <n v="1600"/>
    <d v="2025-01-10T00:00:00"/>
    <d v="2025-01-10T00:00:00"/>
    <d v="2025-01-10T00:00:00"/>
    <s v="M-W-7-8"/>
    <d v="2025-04-26T00:00:00"/>
    <m/>
    <m/>
    <d v="2025-04-26T00:00:00"/>
    <d v="2025-04-26T00:00:00"/>
    <n v="0.95"/>
    <s v="yes"/>
    <n v="5"/>
    <m/>
    <s v="Monthly "/>
    <n v="3600"/>
    <n v="4800"/>
    <s v="Yes"/>
    <d v="2025-04-25T00:00:00"/>
    <n v="4"/>
    <s v="gpay"/>
  </r>
  <r>
    <n v="163"/>
    <s v="A069"/>
    <x v="69"/>
    <s v="A02"/>
    <s v="A069_Viraj Sethi_A02"/>
    <x v="0"/>
    <s v="Sr.KG "/>
    <n v="1600"/>
    <n v="1600"/>
    <d v="2025-02-05T00:00:00"/>
    <d v="2025-02-10T00:00:00"/>
    <d v="2025-02-03T00:00:00"/>
    <s v="M-W-6-7"/>
    <d v="2025-06-09T00:00:00"/>
    <m/>
    <m/>
    <m/>
    <m/>
    <m/>
    <m/>
    <m/>
    <m/>
    <s v="Monthly "/>
    <n v="3600"/>
    <n v="3600"/>
    <s v="Yes"/>
    <d v="2025-04-03T00:00:00"/>
    <n v="3"/>
    <s v="Gpay "/>
  </r>
  <r>
    <n v="164"/>
    <s v="A069"/>
    <x v="69"/>
    <s v="A03"/>
    <s v="A069_Viraj Sethi_A03"/>
    <x v="1"/>
    <s v="Runner 1"/>
    <n v="400"/>
    <n v="400"/>
    <d v="2025-06-09T00:00:00"/>
    <d v="2025-06-09T00:00:00"/>
    <d v="2025-06-09T00:00:00"/>
    <s v="M-W-6-7"/>
    <m/>
    <m/>
    <m/>
    <m/>
    <m/>
    <m/>
    <m/>
    <m/>
    <m/>
    <s v="Monthly"/>
    <n v="3600"/>
    <n v="2400"/>
    <s v="NO"/>
    <d v="2025-08-06T00:00:00"/>
    <m/>
    <s v="gpay"/>
  </r>
  <r>
    <n v="165"/>
    <s v="A070"/>
    <x v="70"/>
    <s v="A02"/>
    <s v="A070_Shaurya Sachin Atkare_A02"/>
    <x v="0"/>
    <s v="Sr.KG"/>
    <n v="1600"/>
    <n v="1600"/>
    <d v="2025-02-20T00:00:00"/>
    <d v="2025-02-26T00:00:00"/>
    <d v="2025-02-24T00:00:00"/>
    <s v="M-W-6-7"/>
    <m/>
    <m/>
    <m/>
    <m/>
    <m/>
    <m/>
    <m/>
    <m/>
    <m/>
    <s v="Levelwise"/>
    <n v="3600"/>
    <n v="3600"/>
    <s v="Yes "/>
    <d v="2025-07-30T00:00:00"/>
    <m/>
    <m/>
  </r>
  <r>
    <n v="166"/>
    <s v="A070"/>
    <x v="70"/>
    <s v="A03"/>
    <s v="A070_Shaurya Sachin Atkare_A03"/>
    <x v="1"/>
    <s v="Runner 1"/>
    <m/>
    <m/>
    <m/>
    <m/>
    <m/>
    <m/>
    <m/>
    <m/>
    <m/>
    <m/>
    <m/>
    <m/>
    <m/>
    <m/>
    <m/>
    <m/>
    <m/>
    <m/>
    <m/>
    <m/>
    <m/>
    <m/>
  </r>
  <r>
    <n v="167"/>
    <s v="A071"/>
    <x v="71"/>
    <s v="A01"/>
    <s v="A071_Manan Mulchandani_A01"/>
    <x v="3"/>
    <s v="Jr.kg."/>
    <n v="1600"/>
    <n v="1600"/>
    <d v="2025-02-23T00:00:00"/>
    <d v="2025-02-23T00:00:00"/>
    <d v="2025-02-23T00:00:00"/>
    <s v="T-T-6-7"/>
    <d v="2025-05-03T00:00:00"/>
    <m/>
    <m/>
    <d v="2025-05-03T00:00:00"/>
    <d v="2025-05-03T00:00:00"/>
    <n v="1"/>
    <s v="yes"/>
    <n v="5"/>
    <m/>
    <s v="Monthly "/>
    <n v="3600"/>
    <n v="3600"/>
    <s v="Yes"/>
    <d v="2025-05-03T00:00:00"/>
    <n v="3"/>
    <s v="Cash"/>
  </r>
  <r>
    <n v="168"/>
    <s v="A071"/>
    <x v="71"/>
    <s v="A02"/>
    <m/>
    <x v="1"/>
    <s v="Sr.KG "/>
    <n v="400"/>
    <n v="400"/>
    <d v="2025-06-15T00:00:00"/>
    <d v="2025-06-09T00:00:00"/>
    <d v="2025-06-15T00:00:00"/>
    <s v="T-T- S-4 to 6"/>
    <m/>
    <m/>
    <m/>
    <m/>
    <m/>
    <m/>
    <m/>
    <m/>
    <m/>
    <s v="Level Wise"/>
    <n v="3600"/>
    <n v="1600"/>
    <m/>
    <d v="2025-07-15T00:00:00"/>
    <n v="1"/>
    <s v="Cash"/>
  </r>
  <r>
    <n v="169"/>
    <s v="A072"/>
    <x v="72"/>
    <s v="A03"/>
    <s v="A072_Hazel Lalvani_A03"/>
    <x v="0"/>
    <s v="Runner-1"/>
    <n v="1600"/>
    <n v="1600"/>
    <d v="2025-03-24T00:00:00"/>
    <d v="2025-03-25T00:00:00"/>
    <d v="2025-03-23T00:00:00"/>
    <s v="Daily "/>
    <d v="2025-08-24T00:00:00"/>
    <m/>
    <m/>
    <d v="2025-08-24T00:00:00"/>
    <d v="2025-08-24T00:00:00"/>
    <n v="0.98"/>
    <s v="yes"/>
    <n v="5"/>
    <m/>
    <s v="Levelwise"/>
    <n v="3600"/>
    <n v="3600"/>
    <s v="Yes"/>
    <d v="2025-08-16T00:00:00"/>
    <m/>
    <s v="Cash"/>
  </r>
  <r>
    <m/>
    <s v="A072"/>
    <x v="72"/>
    <s v="A04"/>
    <s v="A072_Hazel Lalvani_A04"/>
    <x v="1"/>
    <s v="Runner-2"/>
    <n v="400"/>
    <n v="400"/>
    <d v="2025-08-31T00:00:00"/>
    <d v="2025-08-24T00:00:00"/>
    <d v="2025-08-24T00:00:00"/>
    <m/>
    <m/>
    <m/>
    <m/>
    <m/>
    <m/>
    <m/>
    <m/>
    <m/>
    <m/>
    <m/>
    <m/>
    <m/>
    <m/>
    <m/>
    <m/>
    <m/>
  </r>
  <r>
    <n v="170"/>
    <s v="A073"/>
    <x v="73"/>
    <s v="A02"/>
    <s v="A073_Vivaan Dabe_A02"/>
    <x v="0"/>
    <s v="Sr.KG "/>
    <n v="1600"/>
    <n v="1600"/>
    <d v="2025-03-23T00:00:00"/>
    <d v="2025-03-29T00:00:00"/>
    <d v="2025-03-29T00:00:00"/>
    <s v="Daily"/>
    <d v="2025-08-25T00:00:00"/>
    <m/>
    <m/>
    <d v="2025-08-25T00:00:00"/>
    <d v="2025-08-25T00:00:00"/>
    <n v="1"/>
    <s v="yes"/>
    <n v="5"/>
    <m/>
    <s v="Level Wise"/>
    <n v="3600"/>
    <n v="3600"/>
    <s v="Yes "/>
    <d v="2025-07-02T00:00:00"/>
    <m/>
    <s v="Gpay "/>
  </r>
  <r>
    <m/>
    <s v="A073"/>
    <x v="73"/>
    <s v="A03"/>
    <s v="A073_Vivaan Dabe_A03"/>
    <x v="1"/>
    <s v="Runner 1"/>
    <n v="400"/>
    <n v="400"/>
    <d v="2025-08-25T00:00:00"/>
    <d v="2025-08-25T00:00:00"/>
    <d v="2025-09-01T00:00:00"/>
    <s v="M-W-6-7"/>
    <m/>
    <m/>
    <m/>
    <m/>
    <m/>
    <m/>
    <m/>
    <m/>
    <m/>
    <s v="Levelwise"/>
    <n v="3600"/>
    <n v="3600"/>
    <s v="Yes "/>
    <d v="2025-09-03T00:00:00"/>
    <m/>
    <s v="gpay"/>
  </r>
  <r>
    <n v="171"/>
    <s v="A074"/>
    <x v="74"/>
    <s v="A03"/>
    <s v="A074_Vedika Shinde_A03"/>
    <x v="0"/>
    <s v="Runner 1"/>
    <n v="600"/>
    <n v="600"/>
    <d v="2025-04-09T00:00:00"/>
    <d v="2025-04-03T00:00:00"/>
    <d v="2025-04-01T00:00:00"/>
    <s v="Daily"/>
    <d v="2025-05-12T00:00:00"/>
    <m/>
    <m/>
    <d v="2025-05-12T00:00:00"/>
    <d v="2025-05-12T00:00:00"/>
    <n v="0.97"/>
    <s v="yes"/>
    <n v="5"/>
    <m/>
    <s v="Level Wise"/>
    <n v="3600"/>
    <n v="3600"/>
    <s v="Yes"/>
    <d v="2025-05-13T00:00:00"/>
    <m/>
    <s v="gpay"/>
  </r>
  <r>
    <n v="172"/>
    <s v="A074"/>
    <x v="74"/>
    <s v="A04"/>
    <m/>
    <x v="0"/>
    <s v="Runner-2"/>
    <n v="400"/>
    <n v="400"/>
    <m/>
    <m/>
    <m/>
    <s v="Daily"/>
    <d v="2025-07-30T00:00:00"/>
    <m/>
    <m/>
    <m/>
    <m/>
    <n v="0.77"/>
    <m/>
    <m/>
    <m/>
    <s v="Level Wise"/>
    <n v="3600"/>
    <n v="3600"/>
    <s v="Yes"/>
    <d v="2025-08-06T00:00:00"/>
    <m/>
    <s v="gpay"/>
  </r>
  <r>
    <n v="173"/>
    <s v="A074"/>
    <x v="74"/>
    <s v="A05"/>
    <m/>
    <x v="1"/>
    <s v="Runner-3"/>
    <n v="400"/>
    <m/>
    <m/>
    <m/>
    <m/>
    <m/>
    <m/>
    <m/>
    <m/>
    <m/>
    <m/>
    <m/>
    <m/>
    <m/>
    <m/>
    <m/>
    <m/>
    <m/>
    <m/>
    <m/>
    <m/>
    <m/>
  </r>
  <r>
    <n v="174"/>
    <s v="A075"/>
    <x v="75"/>
    <s v="A03"/>
    <s v="A075_Yuvan Lalchandani_A03"/>
    <x v="0"/>
    <s v="Runner 1"/>
    <n v="1600"/>
    <n v="1600"/>
    <d v="2025-04-07T00:00:00"/>
    <d v="2025-04-07T00:00:00"/>
    <d v="2025-04-01T00:00:00"/>
    <s v="Daily"/>
    <d v="2025-05-25T00:00:00"/>
    <m/>
    <m/>
    <m/>
    <m/>
    <n v="1"/>
    <s v="yes"/>
    <n v="4"/>
    <m/>
    <s v="Level Wise"/>
    <n v="3600"/>
    <n v="3600"/>
    <s v="Yes"/>
    <m/>
    <m/>
    <m/>
  </r>
  <r>
    <n v="175"/>
    <s v="A075"/>
    <x v="75"/>
    <s v="A04"/>
    <s v="A075_Yuvan Lalchandani_A04"/>
    <x v="0"/>
    <s v="Runner 2"/>
    <n v="400"/>
    <n v="400"/>
    <d v="2025-05-25T00:00:00"/>
    <d v="2025-05-25T00:00:00"/>
    <d v="2025-05-25T00:00:00"/>
    <m/>
    <m/>
    <m/>
    <m/>
    <m/>
    <m/>
    <m/>
    <m/>
    <m/>
    <m/>
    <m/>
    <m/>
    <m/>
    <m/>
    <m/>
    <m/>
    <m/>
  </r>
  <r>
    <m/>
    <s v="A075"/>
    <x v="75"/>
    <s v="A05"/>
    <s v="A075_Yuvan Lalchandani_A05"/>
    <x v="1"/>
    <s v="Runner 3"/>
    <n v="400"/>
    <m/>
    <m/>
    <m/>
    <m/>
    <m/>
    <m/>
    <m/>
    <m/>
    <m/>
    <m/>
    <m/>
    <m/>
    <m/>
    <m/>
    <m/>
    <m/>
    <m/>
    <m/>
    <m/>
    <m/>
    <m/>
  </r>
  <r>
    <n v="176"/>
    <s v="A076"/>
    <x v="76"/>
    <s v="A03"/>
    <s v="A076_Bhavya _A03"/>
    <x v="0"/>
    <s v="Runner 1"/>
    <n v="600"/>
    <n v="600"/>
    <d v="2025-04-12T00:00:00"/>
    <d v="2025-04-12T00:00:00"/>
    <d v="2025-04-05T00:00:00"/>
    <s v="Daily"/>
    <d v="2025-09-07T00:00:00"/>
    <m/>
    <m/>
    <m/>
    <m/>
    <m/>
    <m/>
    <m/>
    <m/>
    <s v="Level Wise"/>
    <n v="3600"/>
    <n v="3600"/>
    <s v="Yes"/>
    <d v="2025-07-26T00:00:00"/>
    <m/>
    <m/>
  </r>
  <r>
    <m/>
    <s v="A076"/>
    <x v="76"/>
    <s v="A04"/>
    <s v="A076_Bhavya _A04"/>
    <x v="1"/>
    <s v="Runner 2"/>
    <n v="400"/>
    <m/>
    <d v="2025-09-07T00:00:00"/>
    <d v="2025-09-07T00:00:00"/>
    <d v="2025-09-07T00:00:00"/>
    <s v="S-S-4-6"/>
    <m/>
    <m/>
    <m/>
    <m/>
    <m/>
    <m/>
    <m/>
    <m/>
    <m/>
    <s v="Levelwise"/>
    <n v="3600"/>
    <m/>
    <s v="NO"/>
    <m/>
    <m/>
    <m/>
  </r>
  <r>
    <n v="177"/>
    <s v="A077"/>
    <x v="77"/>
    <s v="A08"/>
    <s v="A077_Mayank Agarwal_A08"/>
    <x v="1"/>
    <s v="Sprinter Level-1"/>
    <n v="1600"/>
    <n v="1600"/>
    <d v="2025-04-09T00:00:00"/>
    <d v="2025-04-13T00:00:00"/>
    <d v="2025-04-05T00:00:00"/>
    <s v="Daily"/>
    <m/>
    <m/>
    <m/>
    <m/>
    <m/>
    <m/>
    <m/>
    <m/>
    <m/>
    <s v="Level Wise"/>
    <n v="3600"/>
    <n v="3600"/>
    <s v="Yes "/>
    <d v="2025-08-23T00:00:00"/>
    <m/>
    <s v="gpay"/>
  </r>
  <r>
    <n v="178"/>
    <s v="A078"/>
    <x v="78"/>
    <s v="A03"/>
    <s v="A078_Tanish Mulay_A03"/>
    <x v="0"/>
    <s v="Runner 1"/>
    <n v="1600"/>
    <n v="1600"/>
    <d v="2025-04-04T00:00:00"/>
    <d v="2025-04-07T00:00:00"/>
    <d v="2025-04-03T00:00:00"/>
    <s v="Daily"/>
    <d v="2025-07-03T00:00:00"/>
    <m/>
    <m/>
    <m/>
    <m/>
    <m/>
    <m/>
    <m/>
    <m/>
    <s v="Level Wise"/>
    <n v="3600"/>
    <n v="3250"/>
    <s v="Yes"/>
    <d v="2025-07-08T00:00:00"/>
    <m/>
    <m/>
  </r>
  <r>
    <n v="179"/>
    <s v="A078"/>
    <x v="78"/>
    <s v="A04"/>
    <s v="A078_Tanish Mulay_A04"/>
    <x v="1"/>
    <s v="Runner 2"/>
    <n v="400"/>
    <m/>
    <d v="2025-07-03T00:00:00"/>
    <d v="2025-07-03T00:00:00"/>
    <d v="2025-07-03T00:00:00"/>
    <m/>
    <m/>
    <m/>
    <m/>
    <m/>
    <m/>
    <m/>
    <m/>
    <m/>
    <m/>
    <s v="Level Wise"/>
    <n v="3600"/>
    <m/>
    <s v="NO"/>
    <m/>
    <m/>
    <m/>
  </r>
  <r>
    <n v="180"/>
    <s v="A079"/>
    <x v="79"/>
    <s v="A03"/>
    <s v="A079_Tanush Mulay_A03"/>
    <x v="1"/>
    <s v="Runner 1"/>
    <n v="1600"/>
    <n v="1600"/>
    <d v="2025-04-04T00:00:00"/>
    <d v="2025-04-07T00:00:00"/>
    <d v="2025-04-03T00:00:00"/>
    <s v="Daily"/>
    <m/>
    <m/>
    <m/>
    <m/>
    <m/>
    <m/>
    <m/>
    <m/>
    <m/>
    <s v="Level Wise"/>
    <n v="3600"/>
    <n v="3250"/>
    <s v="Yes"/>
    <d v="2025-07-08T00:00:00"/>
    <m/>
    <m/>
  </r>
  <r>
    <n v="181"/>
    <s v="A080"/>
    <x v="80"/>
    <s v="A03"/>
    <s v="A080_Aarav Gadsingh_A03"/>
    <x v="1"/>
    <s v="Runner 1"/>
    <n v="1600"/>
    <n v="1600"/>
    <d v="2025-04-04T00:00:00"/>
    <d v="2025-04-07T00:00:00"/>
    <d v="2025-04-03T00:00:00"/>
    <s v="Daily"/>
    <m/>
    <m/>
    <m/>
    <m/>
    <m/>
    <m/>
    <m/>
    <m/>
    <m/>
    <s v="Levelwise"/>
    <n v="3600"/>
    <m/>
    <s v="NO"/>
    <m/>
    <m/>
    <m/>
  </r>
  <r>
    <n v="182"/>
    <s v="A081"/>
    <x v="81"/>
    <s v="A03"/>
    <m/>
    <x v="0"/>
    <s v="Runner 1"/>
    <n v="1600"/>
    <n v="1600"/>
    <d v="2025-04-12T00:00:00"/>
    <d v="2025-04-12T00:00:00"/>
    <d v="2025-04-08T00:00:00"/>
    <s v="Daily"/>
    <d v="2025-06-08T00:00:00"/>
    <m/>
    <m/>
    <m/>
    <m/>
    <n v="0.96"/>
    <s v="yes"/>
    <n v="4"/>
    <s v="Yes"/>
    <s v="Level Wise"/>
    <n v="3600"/>
    <n v="3600"/>
    <s v="Yes"/>
    <d v="2025-05-10T00:00:00"/>
    <n v="1"/>
    <s v="gpay"/>
  </r>
  <r>
    <n v="183"/>
    <s v="A081"/>
    <x v="81"/>
    <s v="A04"/>
    <m/>
    <x v="1"/>
    <s v="Runner-2"/>
    <n v="400"/>
    <n v="400"/>
    <d v="2025-06-08T00:00:00"/>
    <d v="2025-06-08T00:00:00"/>
    <d v="2025-06-08T00:00:00"/>
    <s v="S-S-4-5"/>
    <m/>
    <m/>
    <m/>
    <m/>
    <m/>
    <m/>
    <m/>
    <m/>
    <m/>
    <m/>
    <m/>
    <m/>
    <m/>
    <m/>
    <m/>
    <m/>
  </r>
  <r>
    <n v="184"/>
    <s v="A082"/>
    <x v="82"/>
    <s v="A03"/>
    <m/>
    <x v="0"/>
    <s v="Runner 1"/>
    <n v="600"/>
    <n v="600"/>
    <d v="2025-04-19T00:00:00"/>
    <d v="2025-04-20T00:00:00"/>
    <d v="2025-04-07T00:00:00"/>
    <s v="Daily"/>
    <d v="2025-06-16T00:00:00"/>
    <m/>
    <m/>
    <m/>
    <m/>
    <n v="0.93"/>
    <m/>
    <m/>
    <m/>
    <s v="Level Wise"/>
    <n v="3600"/>
    <m/>
    <s v="NO"/>
    <m/>
    <m/>
    <m/>
  </r>
  <r>
    <n v="185"/>
    <s v="A082"/>
    <x v="82"/>
    <s v="A04"/>
    <m/>
    <x v="1"/>
    <s v="Runner 2"/>
    <n v="400"/>
    <n v="400"/>
    <d v="2025-06-24T00:00:00"/>
    <d v="2025-06-24T00:00:00"/>
    <d v="2025-06-24T00:00:00"/>
    <s v="M-W-7-8"/>
    <m/>
    <m/>
    <m/>
    <m/>
    <m/>
    <m/>
    <m/>
    <m/>
    <m/>
    <s v="Level Wise"/>
    <n v="3600"/>
    <m/>
    <m/>
    <m/>
    <m/>
    <m/>
  </r>
  <r>
    <n v="186"/>
    <s v="A083"/>
    <x v="83"/>
    <s v="A02"/>
    <m/>
    <x v="1"/>
    <s v="Sr.KG"/>
    <n v="1600"/>
    <n v="1600"/>
    <d v="2025-04-15T00:00:00"/>
    <d v="2025-04-18T00:00:00"/>
    <d v="2025-04-14T00:00:00"/>
    <s v="Daily"/>
    <m/>
    <m/>
    <m/>
    <m/>
    <m/>
    <m/>
    <m/>
    <m/>
    <m/>
    <s v="Level Wise"/>
    <n v="3600"/>
    <n v="3600"/>
    <s v="Yes"/>
    <d v="2025-04-28T00:00:00"/>
    <m/>
    <s v="gpay"/>
  </r>
  <r>
    <n v="187"/>
    <s v="A084"/>
    <x v="84"/>
    <s v="A02"/>
    <m/>
    <x v="0"/>
    <s v="Sr.KG"/>
    <n v="600"/>
    <n v="600"/>
    <d v="2025-04-19T00:00:00"/>
    <d v="2025-04-23T00:00:00"/>
    <d v="2025-04-18T00:00:00"/>
    <s v="Daily"/>
    <d v="2025-07-01T00:00:00"/>
    <m/>
    <m/>
    <m/>
    <d v="2025-07-01T00:00:00"/>
    <n v="1"/>
    <m/>
    <m/>
    <m/>
    <s v="level wise "/>
    <n v="3600"/>
    <n v="3600"/>
    <s v="Yes"/>
    <d v="2025-07-02T00:00:00"/>
    <m/>
    <m/>
  </r>
  <r>
    <n v="188"/>
    <s v="A084"/>
    <x v="84"/>
    <s v="A03"/>
    <m/>
    <x v="1"/>
    <s v="Runner 1"/>
    <n v="400"/>
    <n v="400"/>
    <d v="2025-07-02T00:00:00"/>
    <d v="2025-07-02T00:00:00"/>
    <d v="2025-07-02T00:00:00"/>
    <m/>
    <m/>
    <m/>
    <m/>
    <m/>
    <m/>
    <m/>
    <m/>
    <m/>
    <m/>
    <s v="Level Wise"/>
    <m/>
    <m/>
    <m/>
    <m/>
    <m/>
    <m/>
  </r>
  <r>
    <n v="189"/>
    <s v="A085"/>
    <x v="85"/>
    <s v="A08"/>
    <m/>
    <x v="1"/>
    <s v="Sprinter Level-1"/>
    <n v="600"/>
    <n v="600"/>
    <d v="2025-04-19T00:00:00"/>
    <d v="2025-04-23T00:00:00"/>
    <d v="2025-04-18T00:00:00"/>
    <s v="Daily"/>
    <m/>
    <m/>
    <m/>
    <m/>
    <m/>
    <m/>
    <m/>
    <m/>
    <m/>
    <s v="level wise "/>
    <n v="3600"/>
    <m/>
    <s v="NO"/>
    <m/>
    <m/>
    <m/>
  </r>
  <r>
    <n v="190"/>
    <s v="A086"/>
    <x v="86"/>
    <s v="A03"/>
    <m/>
    <x v="1"/>
    <s v="Runner 1"/>
    <n v="1600"/>
    <n v="1600"/>
    <d v="2025-04-20T00:00:00"/>
    <d v="2025-04-24T00:00:00"/>
    <d v="2025-04-22T00:00:00"/>
    <s v="T-T-6-7"/>
    <m/>
    <m/>
    <m/>
    <m/>
    <m/>
    <m/>
    <m/>
    <m/>
    <m/>
    <s v="Monthly "/>
    <n v="3600"/>
    <n v="3600"/>
    <s v="Yes"/>
    <m/>
    <m/>
    <m/>
  </r>
  <r>
    <n v="191"/>
    <s v="A087"/>
    <x v="87"/>
    <s v="A03"/>
    <m/>
    <x v="0"/>
    <s v="Runner 1"/>
    <n v="1600"/>
    <n v="1600"/>
    <d v="2025-02-15T00:00:00"/>
    <d v="2025-02-20T00:00:00"/>
    <d v="2025-02-17T00:00:00"/>
    <s v="M-W-6-7"/>
    <d v="2025-06-30T00:00:00"/>
    <n v="4"/>
    <m/>
    <d v="2025-06-30T00:00:00"/>
    <d v="2025-06-30T00:00:00"/>
    <n v="1"/>
    <s v="yes"/>
    <n v="3"/>
    <s v="Yes"/>
    <s v="Monthly "/>
    <n v="3600"/>
    <n v="4800"/>
    <s v="Yes"/>
    <d v="2025-06-30T00:00:00"/>
    <m/>
    <s v="gpay"/>
  </r>
  <r>
    <n v="192"/>
    <s v="A088"/>
    <x v="87"/>
    <s v="A04"/>
    <m/>
    <x v="1"/>
    <s v="Runner 2"/>
    <n v="400"/>
    <n v="400"/>
    <d v="2025-08-24T00:00:00"/>
    <d v="2025-06-30T00:00:00"/>
    <d v="2025-06-30T00:00:00"/>
    <s v="M-W-6-7"/>
    <m/>
    <m/>
    <m/>
    <m/>
    <m/>
    <m/>
    <m/>
    <m/>
    <m/>
    <s v="Monthly"/>
    <n v="3600"/>
    <n v="3600"/>
    <s v="Yes "/>
    <d v="2025-08-18T00:00:00"/>
    <m/>
    <s v="gpay"/>
  </r>
  <r>
    <n v="193"/>
    <s v="A088"/>
    <x v="88"/>
    <s v="A08"/>
    <m/>
    <x v="0"/>
    <s v="Sprinter Level-1"/>
    <n v="1600"/>
    <n v="1600"/>
    <d v="2025-04-26T00:00:00"/>
    <d v="2025-04-27T00:00:00"/>
    <d v="2025-04-25T00:00:00"/>
    <s v="Daily "/>
    <d v="2025-06-25T00:00:00"/>
    <m/>
    <m/>
    <m/>
    <m/>
    <n v="0.96"/>
    <s v="yes"/>
    <n v="4"/>
    <s v="Yes"/>
    <s v="Level Wise"/>
    <n v="3600"/>
    <n v="3600"/>
    <s v="Yes"/>
    <s v="4/26/2025,25-jun-25"/>
    <m/>
    <s v="Phonepay"/>
  </r>
  <r>
    <n v="194"/>
    <s v="A088"/>
    <x v="88"/>
    <s v="A09"/>
    <m/>
    <x v="0"/>
    <s v="Sprinter Level-2"/>
    <n v="400"/>
    <n v="400"/>
    <d v="2025-06-25T00:00:00"/>
    <d v="2025-06-25T00:00:00"/>
    <d v="2025-06-25T00:00:00"/>
    <s v="M-W-4-5"/>
    <d v="2025-07-21T00:00:00"/>
    <m/>
    <m/>
    <m/>
    <m/>
    <n v="0.94"/>
    <s v="No "/>
    <m/>
    <m/>
    <s v="Level Wise"/>
    <n v="3600"/>
    <n v="3600"/>
    <s v="Yes"/>
    <d v="2025-07-29T00:00:00"/>
    <n v="1"/>
    <s v="gpay"/>
  </r>
  <r>
    <n v="195"/>
    <s v="A088"/>
    <x v="88"/>
    <s v="A10"/>
    <m/>
    <x v="1"/>
    <s v="Sprinter Level-3"/>
    <n v="400"/>
    <n v="400"/>
    <d v="2025-07-23T00:00:00"/>
    <d v="2025-07-23T00:00:00"/>
    <m/>
    <s v="M-W-4-5"/>
    <m/>
    <m/>
    <m/>
    <m/>
    <m/>
    <m/>
    <m/>
    <m/>
    <m/>
    <s v="Level Wise"/>
    <n v="3600"/>
    <m/>
    <m/>
    <m/>
    <m/>
    <m/>
  </r>
  <r>
    <n v="196"/>
    <s v="A089"/>
    <x v="89"/>
    <s v="A08"/>
    <m/>
    <x v="0"/>
    <s v="Sprinter Level-1"/>
    <n v="1600"/>
    <n v="1600"/>
    <d v="2025-05-08T00:00:00"/>
    <d v="2025-05-07T00:00:00"/>
    <d v="2025-05-05T00:00:00"/>
    <s v="Daily "/>
    <d v="2025-08-24T00:00:00"/>
    <m/>
    <m/>
    <d v="2025-08-24T00:00:00"/>
    <d v="2025-08-24T00:00:00"/>
    <n v="94"/>
    <s v="Y"/>
    <n v="4"/>
    <m/>
    <s v="level wise "/>
    <n v="3600"/>
    <n v="3600"/>
    <s v="Yes"/>
    <d v="2025-06-01T00:00:00"/>
    <m/>
    <s v="Cash"/>
  </r>
  <r>
    <m/>
    <s v="A089"/>
    <x v="89"/>
    <s v="A09"/>
    <m/>
    <x v="1"/>
    <s v="Sprinter Level-2"/>
    <n v="400"/>
    <m/>
    <m/>
    <d v="2025-08-24T00:00:00"/>
    <d v="2025-08-26T00:00:00"/>
    <s v="T-T-4-5"/>
    <m/>
    <m/>
    <m/>
    <m/>
    <m/>
    <m/>
    <m/>
    <m/>
    <m/>
    <s v="Level Wise"/>
    <n v="3600"/>
    <m/>
    <m/>
    <m/>
    <m/>
    <m/>
  </r>
  <r>
    <n v="197"/>
    <s v="A090"/>
    <x v="90"/>
    <s v="A02"/>
    <m/>
    <x v="0"/>
    <s v="Sr.KG "/>
    <n v="1600"/>
    <n v="1600"/>
    <d v="2025-05-23T00:00:00"/>
    <d v="2025-06-02T00:00:00"/>
    <d v="2025-06-02T00:00:00"/>
    <s v="M-W-6-7"/>
    <m/>
    <m/>
    <m/>
    <m/>
    <m/>
    <m/>
    <m/>
    <m/>
    <m/>
    <s v="Monthly "/>
    <n v="3600"/>
    <n v="3600"/>
    <s v="Yes"/>
    <d v="2025-06-11T00:00:00"/>
    <n v="2"/>
    <s v="gpay"/>
  </r>
  <r>
    <n v="198"/>
    <s v="A090"/>
    <x v="90"/>
    <s v="A03"/>
    <m/>
    <x v="1"/>
    <s v="Runner 1"/>
    <n v="400"/>
    <m/>
    <d v="2025-08-06T00:00:00"/>
    <d v="2025-08-06T00:00:00"/>
    <d v="2025-08-06T00:00:00"/>
    <s v="M-W-6-7"/>
    <m/>
    <m/>
    <m/>
    <m/>
    <m/>
    <m/>
    <m/>
    <m/>
    <m/>
    <s v="Monthly "/>
    <n v="3600"/>
    <m/>
    <s v="NO"/>
    <m/>
    <m/>
    <m/>
  </r>
  <r>
    <n v="199"/>
    <s v="A091"/>
    <x v="91"/>
    <s v="A02"/>
    <m/>
    <x v="1"/>
    <s v="Runner 1"/>
    <n v="1600"/>
    <n v="1600"/>
    <d v="2025-06-09T00:00:00"/>
    <d v="2025-06-14T00:00:00"/>
    <d v="2025-06-14T00:00:00"/>
    <s v="S-S-4-5"/>
    <m/>
    <m/>
    <m/>
    <m/>
    <m/>
    <m/>
    <m/>
    <m/>
    <m/>
    <s v="Monthly"/>
    <n v="3600"/>
    <n v="3600"/>
    <s v="NO"/>
    <d v="2025-09-15T00:00:00"/>
    <n v="3"/>
    <s v="gpay"/>
  </r>
  <r>
    <n v="200"/>
    <s v="A092"/>
    <x v="92"/>
    <s v="A04"/>
    <m/>
    <x v="1"/>
    <s v="Sprinter Level-1"/>
    <n v="600"/>
    <n v="600"/>
    <d v="2025-06-12T00:00:00"/>
    <d v="2025-06-10T00:00:00"/>
    <d v="2025-06-10T00:00:00"/>
    <s v="T-T-6-7"/>
    <m/>
    <m/>
    <m/>
    <m/>
    <m/>
    <m/>
    <m/>
    <m/>
    <m/>
    <s v="Monthly "/>
    <n v="3600"/>
    <n v="3600"/>
    <s v="NO"/>
    <d v="2025-09-16T00:00:00"/>
    <n v="3"/>
    <s v="gpay"/>
  </r>
  <r>
    <n v="201"/>
    <s v="A093"/>
    <x v="93"/>
    <s v="A02"/>
    <m/>
    <x v="1"/>
    <s v="Sr.KG"/>
    <n v="600"/>
    <n v="600"/>
    <d v="2025-06-12T00:00:00"/>
    <d v="2025-06-10T00:00:00"/>
    <d v="2025-06-10T00:00:00"/>
    <s v="T-T-6-7"/>
    <m/>
    <m/>
    <m/>
    <m/>
    <m/>
    <m/>
    <m/>
    <m/>
    <m/>
    <s v="Monthly "/>
    <n v="3600"/>
    <n v="3600"/>
    <s v="NO"/>
    <d v="2025-09-16T00:00:00"/>
    <n v="3"/>
    <s v="gpay"/>
  </r>
  <r>
    <n v="202"/>
    <s v="A094"/>
    <x v="94"/>
    <s v="A03"/>
    <m/>
    <x v="1"/>
    <s v="Runner-1"/>
    <n v="1600"/>
    <n v="1600"/>
    <d v="2025-06-29T00:00:00"/>
    <s v="-"/>
    <d v="2025-06-30T00:00:00"/>
    <m/>
    <m/>
    <m/>
    <m/>
    <m/>
    <m/>
    <m/>
    <m/>
    <m/>
    <m/>
    <s v="Level Wise"/>
    <n v="3600"/>
    <n v="3600"/>
    <s v="Yes"/>
    <d v="2025-06-29T00:00:00"/>
    <m/>
    <s v="gpay"/>
  </r>
  <r>
    <n v="203"/>
    <s v="A095"/>
    <x v="95"/>
    <s v="A03"/>
    <m/>
    <x v="1"/>
    <s v="Runner 1"/>
    <n v="1600"/>
    <n v="1600"/>
    <d v="2025-07-01T00:00:00"/>
    <d v="2025-07-01T00:00:00"/>
    <d v="2025-07-01T00:00:00"/>
    <s v="T-T-6-7"/>
    <m/>
    <m/>
    <m/>
    <m/>
    <m/>
    <m/>
    <m/>
    <m/>
    <m/>
    <s v="Monthly"/>
    <n v="3600"/>
    <n v="2400"/>
    <s v="NO"/>
    <d v="2025-07-30T00:00:00"/>
    <n v="2"/>
    <s v="gpay"/>
  </r>
  <r>
    <n v="204"/>
    <s v="A096"/>
    <x v="96"/>
    <s v="A03"/>
    <m/>
    <x v="1"/>
    <s v="Runner 1"/>
    <n v="1600"/>
    <n v="1600"/>
    <d v="2025-07-01T00:00:00"/>
    <d v="2025-07-01T00:00:00"/>
    <d v="2025-07-01T00:00:00"/>
    <s v="T-T-6-7"/>
    <m/>
    <m/>
    <m/>
    <m/>
    <m/>
    <m/>
    <m/>
    <m/>
    <m/>
    <s v="Monthly"/>
    <n v="3600"/>
    <n v="2400"/>
    <s v="NO"/>
    <d v="2025-07-30T00:00:00"/>
    <n v="2"/>
    <s v="gpay"/>
  </r>
  <r>
    <n v="205"/>
    <s v="A097"/>
    <x v="97"/>
    <s v="A01"/>
    <m/>
    <x v="1"/>
    <s v="Jr.KG"/>
    <n v="1600"/>
    <n v="1600"/>
    <d v="2025-06-24T00:00:00"/>
    <d v="2025-06-17T00:00:00"/>
    <d v="2025-06-17T00:00:00"/>
    <s v="M-W-4-5"/>
    <m/>
    <m/>
    <m/>
    <m/>
    <m/>
    <m/>
    <m/>
    <m/>
    <m/>
    <s v="Monthly"/>
    <n v="3600"/>
    <n v="2400"/>
    <s v="NO"/>
    <d v="2025-08-06T00:00:00"/>
    <n v="2"/>
    <s v="Gpay,Cash"/>
  </r>
  <r>
    <n v="206"/>
    <s v="A098"/>
    <x v="98"/>
    <s v="A01"/>
    <m/>
    <x v="1"/>
    <s v="Jr.KG"/>
    <n v="1600"/>
    <n v="1600"/>
    <m/>
    <m/>
    <m/>
    <m/>
    <m/>
    <m/>
    <m/>
    <m/>
    <m/>
    <m/>
    <m/>
    <m/>
    <m/>
    <m/>
    <m/>
    <m/>
    <m/>
    <m/>
    <m/>
    <m/>
  </r>
  <r>
    <n v="207"/>
    <s v="A099"/>
    <x v="99"/>
    <s v="A01"/>
    <m/>
    <x v="1"/>
    <s v="Jr.KG"/>
    <n v="1600"/>
    <n v="1600"/>
    <m/>
    <m/>
    <m/>
    <m/>
    <m/>
    <m/>
    <m/>
    <m/>
    <m/>
    <m/>
    <m/>
    <m/>
    <m/>
    <m/>
    <m/>
    <m/>
    <m/>
    <m/>
    <m/>
    <m/>
  </r>
  <r>
    <n v="208"/>
    <s v="A100"/>
    <x v="100"/>
    <s v="A03"/>
    <m/>
    <x v="1"/>
    <s v="Runner 1"/>
    <n v="1600"/>
    <n v="1600"/>
    <d v="2025-06-10T00:00:00"/>
    <d v="2025-06-03T00:00:00"/>
    <d v="2025-06-03T00:00:00"/>
    <m/>
    <m/>
    <m/>
    <m/>
    <m/>
    <m/>
    <m/>
    <m/>
    <m/>
    <m/>
    <s v="Monthly"/>
    <n v="3600"/>
    <n v="4800"/>
    <s v="Yes"/>
    <d v="2025-09-04T00:00:00"/>
    <n v="4"/>
    <s v="gpay"/>
  </r>
  <r>
    <n v="209"/>
    <s v="A101"/>
    <x v="101"/>
    <s v="A08"/>
    <m/>
    <x v="1"/>
    <s v="Sprinter 1"/>
    <n v="1600"/>
    <n v="1600"/>
    <d v="2025-07-07T00:00:00"/>
    <d v="2025-07-07T00:00:00"/>
    <d v="2025-06-30T00:00:00"/>
    <m/>
    <m/>
    <m/>
    <m/>
    <m/>
    <m/>
    <m/>
    <m/>
    <m/>
    <m/>
    <s v="Monthly"/>
    <n v="3600"/>
    <n v="1200"/>
    <s v="NO"/>
    <d v="2025-07-07T00:00:00"/>
    <m/>
    <s v="gpay"/>
  </r>
  <r>
    <n v="210"/>
    <s v="A102"/>
    <x v="102"/>
    <s v="A03"/>
    <m/>
    <x v="1"/>
    <s v="Runner 1"/>
    <n v="1600"/>
    <n v="1600"/>
    <d v="2025-07-07T00:00:00"/>
    <d v="2025-07-07T00:00:00"/>
    <d v="2025-06-30T00:00:00"/>
    <s v="M-W-4-5"/>
    <m/>
    <m/>
    <m/>
    <m/>
    <m/>
    <m/>
    <m/>
    <m/>
    <m/>
    <s v="Monthly"/>
    <n v="3600"/>
    <n v="1200"/>
    <s v="NO"/>
    <d v="2025-07-07T00:00:00"/>
    <m/>
    <s v="gpay"/>
  </r>
  <r>
    <n v="211"/>
    <s v="A103"/>
    <x v="103"/>
    <s v="A03"/>
    <m/>
    <x v="1"/>
    <s v="Runner 1"/>
    <n v="1600"/>
    <n v="1600"/>
    <d v="2025-06-15T00:00:00"/>
    <d v="2025-07-05T00:00:00"/>
    <d v="2025-07-05T00:00:00"/>
    <s v="T-T-6-7"/>
    <m/>
    <m/>
    <m/>
    <m/>
    <m/>
    <m/>
    <m/>
    <m/>
    <m/>
    <s v="Levelwise"/>
    <n v="3600"/>
    <m/>
    <s v="NO"/>
    <m/>
    <m/>
    <m/>
  </r>
  <r>
    <n v="212"/>
    <s v="A104"/>
    <x v="104"/>
    <s v="A02"/>
    <m/>
    <x v="1"/>
    <s v="Sr.KG "/>
    <n v="1600"/>
    <n v="1600"/>
    <d v="2025-07-02T00:00:00"/>
    <d v="2025-07-07T00:00:00"/>
    <d v="2025-07-02T00:00:00"/>
    <s v="M-W-6-7"/>
    <m/>
    <m/>
    <m/>
    <m/>
    <m/>
    <m/>
    <m/>
    <m/>
    <m/>
    <s v="Monthly "/>
    <n v="3600"/>
    <m/>
    <m/>
    <m/>
    <m/>
    <m/>
  </r>
  <r>
    <n v="213"/>
    <s v="A105"/>
    <x v="105"/>
    <s v="A03"/>
    <m/>
    <x v="1"/>
    <s v="Runner 1"/>
    <n v="1600"/>
    <n v="1600"/>
    <d v="2025-07-07T00:00:00"/>
    <d v="2025-07-07T00:00:00"/>
    <d v="2025-06-30T00:00:00"/>
    <m/>
    <m/>
    <m/>
    <m/>
    <m/>
    <m/>
    <m/>
    <m/>
    <m/>
    <m/>
    <s v="Levelwise"/>
    <n v="3600"/>
    <n v="2000"/>
    <s v="NO"/>
    <d v="2025-07-07T00:00:00"/>
    <m/>
    <s v="Cash"/>
  </r>
  <r>
    <n v="214"/>
    <s v="A107"/>
    <x v="106"/>
    <s v="A03"/>
    <m/>
    <x v="1"/>
    <s v="Runner 1"/>
    <n v="1600"/>
    <n v="1600"/>
    <d v="2025-07-07T00:00:00"/>
    <d v="2025-07-12T00:00:00"/>
    <d v="2025-07-05T00:00:00"/>
    <s v="S-S-4-6"/>
    <m/>
    <m/>
    <m/>
    <m/>
    <m/>
    <m/>
    <m/>
    <m/>
    <m/>
    <s v="Monthly"/>
    <n v="3600"/>
    <n v="1200"/>
    <s v="NO"/>
    <d v="2025-07-27T00:00:00"/>
    <m/>
    <s v="gpay"/>
  </r>
  <r>
    <n v="215"/>
    <s v="A108"/>
    <x v="107"/>
    <s v="A02"/>
    <m/>
    <x v="1"/>
    <s v="Sr.KG"/>
    <n v="1600"/>
    <n v="1600"/>
    <d v="2025-07-13T00:00:00"/>
    <d v="2025-07-13T00:00:00"/>
    <d v="2025-07-06T00:00:00"/>
    <s v="S-S-4-6"/>
    <m/>
    <m/>
    <m/>
    <m/>
    <m/>
    <m/>
    <m/>
    <m/>
    <m/>
    <s v="Monthly "/>
    <n v="3600"/>
    <n v="2400"/>
    <s v="NO"/>
    <d v="2025-08-25T00:00:00"/>
    <n v="2"/>
    <s v="gpay"/>
  </r>
  <r>
    <n v="216"/>
    <s v="A109"/>
    <x v="108"/>
    <s v="A02"/>
    <m/>
    <x v="1"/>
    <s v="SR.KG"/>
    <n v="1600"/>
    <n v="1600"/>
    <d v="2025-07-19T00:00:00"/>
    <d v="2025-07-22T00:00:00"/>
    <d v="2025-07-22T00:00:00"/>
    <s v="T-T-6-7"/>
    <m/>
    <m/>
    <m/>
    <m/>
    <m/>
    <m/>
    <m/>
    <m/>
    <m/>
    <s v="Monthly"/>
    <n v="3600"/>
    <m/>
    <s v="NO"/>
    <m/>
    <m/>
    <m/>
  </r>
  <r>
    <n v="217"/>
    <s v="A110"/>
    <x v="109"/>
    <s v="A03"/>
    <m/>
    <x v="1"/>
    <s v="Runner 1"/>
    <n v="1600"/>
    <n v="1600"/>
    <d v="2025-08-07T00:00:00"/>
    <d v="2025-08-07T00:00:00"/>
    <d v="2025-08-07T00:00:00"/>
    <s v="T-T-4-5"/>
    <m/>
    <m/>
    <m/>
    <m/>
    <m/>
    <m/>
    <m/>
    <m/>
    <m/>
    <s v="Level Wise"/>
    <n v="3600"/>
    <m/>
    <m/>
    <m/>
    <m/>
    <m/>
  </r>
  <r>
    <n v="218"/>
    <s v="A111"/>
    <x v="110"/>
    <s v="A04"/>
    <m/>
    <x v="1"/>
    <s v="Sprinter 1"/>
    <n v="600"/>
    <n v="600"/>
    <d v="2025-08-11T00:00:00"/>
    <d v="2025-08-11T00:00:00"/>
    <d v="2025-08-11T00:00:00"/>
    <s v="M-W-4-5"/>
    <m/>
    <m/>
    <m/>
    <m/>
    <m/>
    <m/>
    <m/>
    <m/>
    <m/>
    <s v="Level-wise"/>
    <n v="3600"/>
    <m/>
    <m/>
    <m/>
    <m/>
    <m/>
  </r>
  <r>
    <n v="219"/>
    <s v="A112"/>
    <x v="111"/>
    <s v="A03"/>
    <m/>
    <x v="1"/>
    <s v="Runner 1"/>
    <n v="1600"/>
    <n v="1600"/>
    <d v="2025-08-11T00:00:00"/>
    <d v="2025-08-23T00:00:00"/>
    <d v="2025-08-11T00:00:00"/>
    <s v="S-S-4-6"/>
    <m/>
    <m/>
    <m/>
    <m/>
    <m/>
    <m/>
    <m/>
    <m/>
    <m/>
    <s v="Level Wise"/>
    <n v="3600"/>
    <m/>
    <m/>
    <m/>
    <m/>
    <m/>
  </r>
  <r>
    <n v="220"/>
    <s v="A113"/>
    <x v="112"/>
    <s v="A03"/>
    <m/>
    <x v="1"/>
    <s v="Runner 1"/>
    <n v="1600"/>
    <n v="1600"/>
    <d v="2025-08-11T00:00:00"/>
    <d v="2025-08-23T00:00:00"/>
    <d v="2025-08-11T00:00:00"/>
    <s v="S-S-4-6"/>
    <m/>
    <m/>
    <m/>
    <m/>
    <m/>
    <m/>
    <m/>
    <m/>
    <m/>
    <s v="Level Wise"/>
    <n v="3600"/>
    <m/>
    <m/>
    <m/>
    <m/>
    <m/>
  </r>
  <r>
    <n v="221"/>
    <s v="A114"/>
    <x v="113"/>
    <s v="A01"/>
    <m/>
    <x v="1"/>
    <s v="Jr.Kg"/>
    <n v="1600"/>
    <n v="1600"/>
    <d v="2025-08-28T00:00:00"/>
    <d v="2025-08-28T00:00:00"/>
    <d v="2025-08-26T00:00:00"/>
    <s v="T-T-6-7"/>
    <m/>
    <m/>
    <m/>
    <m/>
    <m/>
    <m/>
    <m/>
    <m/>
    <m/>
    <s v="Levelwise"/>
    <n v="3600"/>
    <m/>
    <m/>
    <m/>
    <m/>
    <m/>
  </r>
  <r>
    <n v="222"/>
    <s v="A115"/>
    <x v="114"/>
    <s v="A01"/>
    <m/>
    <x v="1"/>
    <s v="Runner 1"/>
    <n v="1600"/>
    <n v="1600"/>
    <d v="2025-09-13T00:00:00"/>
    <d v="2025-09-16T00:00:00"/>
    <d v="2025-09-16T00:00:00"/>
    <s v="T-T6-7"/>
    <m/>
    <m/>
    <m/>
    <m/>
    <m/>
    <m/>
    <m/>
    <m/>
    <m/>
    <s v="Levelwise"/>
    <n v="3600"/>
    <n v="1600"/>
    <d v="2025-09-16T00:00:00"/>
    <m/>
    <m/>
    <m/>
  </r>
  <r>
    <n v="223"/>
    <s v="A116"/>
    <x v="115"/>
    <s v="A02"/>
    <m/>
    <x v="1"/>
    <s v="Sr.Kg"/>
    <n v="1600"/>
    <n v="1600"/>
    <d v="2025-09-07T00:00:00"/>
    <d v="2025-09-12T00:00:00"/>
    <d v="2025-09-08T00:00:00"/>
    <s v="T-T-6-7"/>
    <m/>
    <m/>
    <m/>
    <m/>
    <m/>
    <m/>
    <m/>
    <m/>
    <m/>
    <s v="Monthly"/>
    <n v="4800"/>
    <m/>
    <m/>
    <m/>
    <m/>
    <m/>
  </r>
  <r>
    <n v="224"/>
    <s v="A117"/>
    <x v="116"/>
    <s v="A02"/>
    <m/>
    <x v="1"/>
    <s v="Sr.Kg."/>
    <n v="1600"/>
    <n v="1600"/>
    <d v="2025-09-29T00:00:00"/>
    <d v="2025-09-22T00:00:00"/>
    <d v="2025-09-08T00:00:00"/>
    <s v="M-Tu-6 - 7Pm"/>
    <m/>
    <m/>
    <m/>
    <m/>
    <m/>
    <m/>
    <m/>
    <m/>
    <m/>
    <s v="Monthly"/>
    <n v="4800"/>
    <n v="1600"/>
    <s v="NO"/>
    <d v="2025-09-29T00:00:00"/>
    <n v="1"/>
    <m/>
  </r>
  <r>
    <n v="225"/>
    <s v="A118"/>
    <x v="117"/>
    <s v="A02"/>
    <m/>
    <x v="1"/>
    <s v="Sr.KG."/>
    <n v="1600"/>
    <n v="1600"/>
    <d v="2025-09-28T00:00:00"/>
    <d v="2025-09-28T00:00:00"/>
    <d v="2025-09-28T00:00:00"/>
    <s v="Daily-Level"/>
    <m/>
    <m/>
    <m/>
    <m/>
    <m/>
    <m/>
    <m/>
    <m/>
    <m/>
    <s v="Level Wise"/>
    <n v="4800"/>
    <n v="4800"/>
    <s v="Yes"/>
    <m/>
    <m/>
    <m/>
  </r>
  <r>
    <n v="226"/>
    <s v="A119"/>
    <x v="118"/>
    <s v="A02"/>
    <m/>
    <x v="1"/>
    <s v="Sr.KG."/>
    <n v="1600"/>
    <n v="1600"/>
    <d v="2025-10-11T00:00:00"/>
    <d v="2025-10-11T00:00:00"/>
    <d v="2025-10-11T00:00:00"/>
    <s v="Daily-Level"/>
    <m/>
    <m/>
    <m/>
    <m/>
    <m/>
    <m/>
    <m/>
    <m/>
    <m/>
    <s v="Level Wise"/>
    <n v="4800"/>
    <n v="2400"/>
    <s v="NO"/>
    <d v="2025-10-11T00:00:00"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  <r>
    <m/>
    <m/>
    <x v="119"/>
    <m/>
    <m/>
    <x v="4"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n v="1"/>
    <s v="A001"/>
    <x v="0"/>
    <s v="A01"/>
    <s v="A001_Aaditya Patil_A01"/>
    <x v="0"/>
    <x v="0"/>
    <n v="1650"/>
    <n v="1650"/>
    <d v="2022-10-07T00:00:00"/>
    <d v="2022-10-07T00:00:00"/>
    <d v="2022-10-07T00:00:00"/>
    <s v="O-M-F-3-4"/>
    <d v="2023-01-02T00:00:00"/>
    <n v="2.9"/>
    <n v="24"/>
    <m/>
    <m/>
    <m/>
    <m/>
    <m/>
    <m/>
    <s v="1st Free"/>
    <n v="0"/>
    <n v="0"/>
    <s v="NA"/>
    <s v="NA"/>
    <m/>
    <m/>
  </r>
  <r>
    <n v="2"/>
    <s v="A001"/>
    <x v="0"/>
    <s v="A03"/>
    <s v="A001_Aaditya Patil_A03"/>
    <x v="0"/>
    <x v="1"/>
    <n v="600"/>
    <n v="600"/>
    <d v="2023-01-03T00:00:00"/>
    <d v="2023-01-03T00:00:00"/>
    <d v="2023-01-03T00:00:00"/>
    <s v="O-M-F-3-4"/>
    <d v="2023-04-30T00:00:00"/>
    <n v="3.9"/>
    <n v="32"/>
    <m/>
    <m/>
    <m/>
    <m/>
    <m/>
    <m/>
    <s v="Always Free"/>
    <n v="0"/>
    <n v="0"/>
    <s v="NA"/>
    <m/>
    <m/>
    <m/>
  </r>
  <r>
    <n v="3"/>
    <s v="A002"/>
    <x v="1"/>
    <s v="A01"/>
    <s v="A002_Tanush Thosare_A01"/>
    <x v="0"/>
    <x v="0"/>
    <n v="1600"/>
    <n v="1600"/>
    <d v="2022-10-07T00:00:00"/>
    <d v="2022-10-07T00:00:00"/>
    <d v="2022-10-07T00:00:00"/>
    <s v="O-M-F-3-4"/>
    <d v="2023-01-01T00:00:00"/>
    <n v="2.8666666666666667"/>
    <n v="23"/>
    <m/>
    <m/>
    <m/>
    <m/>
    <m/>
    <m/>
    <s v="1st Special Fee"/>
    <n v="2500"/>
    <n v="2500"/>
    <s v="Yes"/>
    <d v="2023-01-01T00:00:00"/>
    <m/>
    <m/>
  </r>
  <r>
    <n v="4"/>
    <s v="A002"/>
    <x v="1"/>
    <s v="A03"/>
    <s v="A002_Tanush Thosare_A03"/>
    <x v="0"/>
    <x v="1"/>
    <n v="600"/>
    <n v="600"/>
    <d v="2023-01-03T00:00:00"/>
    <d v="2023-01-03T00:00:00"/>
    <d v="2023-01-03T00:00:00"/>
    <s v="O-M-F-3-4"/>
    <d v="2023-04-24T00:00:00"/>
    <n v="3.7"/>
    <n v="30"/>
    <m/>
    <m/>
    <m/>
    <m/>
    <m/>
    <m/>
    <s v="Level Wise"/>
    <n v="3600"/>
    <n v="3600"/>
    <s v="Yes"/>
    <d v="2023-04-24T00:00:00"/>
    <m/>
    <m/>
  </r>
  <r>
    <n v="5"/>
    <s v="A003"/>
    <x v="2"/>
    <s v="A08"/>
    <s v="A003_Prathmesh Zope_A08"/>
    <x v="0"/>
    <x v="2"/>
    <n v="1600"/>
    <n v="1600"/>
    <d v="2022-11-03T00:00:00"/>
    <d v="2022-11-03T00:00:00"/>
    <d v="2022-11-05T00:00:00"/>
    <s v="M-F-7-8"/>
    <d v="2023-04-18T00:00:00"/>
    <n v="5.4666666666666668"/>
    <n v="44"/>
    <m/>
    <m/>
    <m/>
    <m/>
    <m/>
    <m/>
    <s v="Level Wise"/>
    <n v="3600"/>
    <n v="3600"/>
    <s v="Yes"/>
    <d v="2022-11-03T00:00:00"/>
    <m/>
    <m/>
  </r>
  <r>
    <n v="6"/>
    <s v="A003"/>
    <x v="2"/>
    <s v="A09"/>
    <s v="A003_Prathmesh Zope_A09"/>
    <x v="0"/>
    <x v="3"/>
    <n v="400"/>
    <n v="400"/>
    <d v="2023-04-18T00:00:00"/>
    <d v="2023-04-18T00:00:00"/>
    <d v="2023-04-18T00:00:00"/>
    <s v="M-F-7-8"/>
    <d v="2023-07-14T00:00:00"/>
    <n v="2.9"/>
    <n v="24"/>
    <m/>
    <m/>
    <m/>
    <m/>
    <m/>
    <m/>
    <s v="Level Wise"/>
    <n v="3600"/>
    <n v="3600"/>
    <s v="Yes"/>
    <d v="2023-04-18T00:00:00"/>
    <m/>
    <m/>
  </r>
  <r>
    <n v="7"/>
    <s v="A003"/>
    <x v="2"/>
    <s v="A10"/>
    <s v="A003_Prathmesh Zope_A10"/>
    <x v="0"/>
    <x v="4"/>
    <n v="400"/>
    <n v="400"/>
    <d v="2023-07-17T00:00:00"/>
    <d v="2023-07-14T00:00:00"/>
    <d v="2023-07-14T00:00:00"/>
    <s v="M-F-7-8"/>
    <d v="2023-12-08T00:00:00"/>
    <n v="4.9000000000000004"/>
    <n v="40"/>
    <m/>
    <m/>
    <m/>
    <m/>
    <m/>
    <m/>
    <s v="Level Wise"/>
    <n v="3600"/>
    <n v="3600"/>
    <s v="Yes"/>
    <d v="2023-07-17T00:00:00"/>
    <m/>
    <m/>
  </r>
  <r>
    <n v="8"/>
    <s v="A003"/>
    <x v="2"/>
    <s v="A11"/>
    <s v="A003_Prathmesh Zope_A11"/>
    <x v="0"/>
    <x v="5"/>
    <n v="400"/>
    <n v="400"/>
    <d v="2023-12-04T00:00:00"/>
    <d v="2023-12-04T00:00:00"/>
    <d v="2023-12-08T00:00:00"/>
    <s v="M-F-7-8"/>
    <d v="2024-05-25T00:00:00"/>
    <n v="5.6333333333333337"/>
    <n v="46"/>
    <m/>
    <m/>
    <m/>
    <m/>
    <m/>
    <m/>
    <s v="Level Wise"/>
    <n v="3600"/>
    <n v="3600"/>
    <s v="Yes"/>
    <d v="2023-12-04T00:00:00"/>
    <m/>
    <m/>
  </r>
  <r>
    <n v="9"/>
    <s v="A003"/>
    <x v="2"/>
    <s v="A12"/>
    <s v="A003_Prathmesh Zope_A12"/>
    <x v="0"/>
    <x v="6"/>
    <n v="400"/>
    <n v="400"/>
    <d v="2024-06-04T00:00:00"/>
    <d v="2024-06-01T00:00:00"/>
    <d v="2024-06-01T00:00:00"/>
    <s v="M-F-7-8"/>
    <d v="2024-12-03T00:00:00"/>
    <n v="6.166666666666667"/>
    <n v="50"/>
    <d v="2024-12-03T00:00:00"/>
    <d v="2024-12-03T00:00:00"/>
    <n v="0.82"/>
    <s v="yes"/>
    <n v="2"/>
    <s v="Yes"/>
    <s v="Level Wise"/>
    <n v="3600"/>
    <n v="3600"/>
    <s v="Yes"/>
    <d v="2024-07-22T00:00:00"/>
    <m/>
    <m/>
  </r>
  <r>
    <n v="10"/>
    <s v="A003"/>
    <x v="2"/>
    <s v="A13"/>
    <s v="A003_Prathmesh Zope_A13"/>
    <x v="1"/>
    <x v="7"/>
    <n v="400"/>
    <m/>
    <d v="2024-12-06T00:00:00"/>
    <d v="2024-12-06T00:00:00"/>
    <d v="2024-12-06T00:00:00"/>
    <s v="M-F-7-8"/>
    <m/>
    <n v="10.333333333333334"/>
    <n v="83"/>
    <m/>
    <m/>
    <m/>
    <m/>
    <m/>
    <m/>
    <s v="Level Wise"/>
    <n v="3600"/>
    <n v="3600"/>
    <s v="Yes "/>
    <d v="2025-01-29T00:00:00"/>
    <s v="Gpay"/>
    <m/>
  </r>
  <r>
    <n v="11"/>
    <s v="A004"/>
    <x v="3"/>
    <s v="A08"/>
    <s v="A004_Asmi Kshirsagar_A08"/>
    <x v="0"/>
    <x v="2"/>
    <n v="1600"/>
    <n v="1600"/>
    <d v="2023-12-03T00:00:00"/>
    <d v="2022-11-03T00:00:00"/>
    <d v="2022-11-05T00:00:00"/>
    <s v="M-F-7-8"/>
    <d v="2023-05-12T00:00:00"/>
    <n v="6.2666666666666666"/>
    <n v="51"/>
    <m/>
    <m/>
    <m/>
    <m/>
    <m/>
    <m/>
    <s v="Level Wise"/>
    <n v="3600"/>
    <n v="3600"/>
    <s v="Yes"/>
    <d v="2023-01-09T00:00:00"/>
    <m/>
    <m/>
  </r>
  <r>
    <n v="12"/>
    <s v="A004"/>
    <x v="3"/>
    <s v="A09"/>
    <s v="A004_Asmi Kshirsagar_A09"/>
    <x v="0"/>
    <x v="3"/>
    <n v="400"/>
    <n v="400"/>
    <d v="2023-05-12T00:00:00"/>
    <d v="2023-05-12T00:00:00"/>
    <d v="2023-05-12T00:00:00"/>
    <s v="M-F-7-8"/>
    <d v="2023-08-30T00:00:00"/>
    <n v="3.6666666666666665"/>
    <n v="30"/>
    <m/>
    <m/>
    <m/>
    <m/>
    <m/>
    <m/>
    <s v="Level Wise"/>
    <n v="3600"/>
    <n v="3600"/>
    <s v="Yes"/>
    <d v="2023-05-12T00:00:00"/>
    <m/>
    <m/>
  </r>
  <r>
    <n v="13"/>
    <s v="A004"/>
    <x v="3"/>
    <s v="A10"/>
    <s v="A004_Asmi Kshirsagar_A10"/>
    <x v="0"/>
    <x v="4"/>
    <n v="400"/>
    <n v="400"/>
    <d v="2023-09-17T00:00:00"/>
    <d v="2023-09-17T00:00:00"/>
    <d v="2023-09-11T00:00:00"/>
    <s v="M-F-7-8"/>
    <m/>
    <n v="25.4"/>
    <n v="204"/>
    <s v="only exam pending"/>
    <m/>
    <m/>
    <m/>
    <m/>
    <m/>
    <s v="Level Wise"/>
    <n v="3600"/>
    <n v="3600"/>
    <s v="Yes"/>
    <d v="2023-09-17T00:00:00"/>
    <m/>
    <m/>
  </r>
  <r>
    <n v="14"/>
    <s v="A005"/>
    <x v="4"/>
    <s v="V01"/>
    <s v="A005_Yatharth Kaushik_V01"/>
    <x v="0"/>
    <x v="8"/>
    <n v="1600"/>
    <n v="1600"/>
    <d v="2022-12-02T00:00:00"/>
    <d v="2022-12-02T00:00:00"/>
    <d v="2022-11-24T00:00:00"/>
    <s v="T-T-6-7"/>
    <d v="2023-02-28T00:00:00"/>
    <n v="3.2"/>
    <n v="26"/>
    <m/>
    <m/>
    <m/>
    <m/>
    <m/>
    <m/>
    <s v="Level Wise"/>
    <n v="3600"/>
    <n v="3600"/>
    <s v="Yes"/>
    <d v="2023-02-28T00:00:00"/>
    <m/>
    <m/>
  </r>
  <r>
    <n v="15"/>
    <s v="A005"/>
    <x v="4"/>
    <s v="V02"/>
    <s v="A005_Yatharth Kaushik_V02"/>
    <x v="0"/>
    <x v="9"/>
    <n v="600"/>
    <n v="600"/>
    <d v="2023-03-15T00:00:00"/>
    <d v="2023-03-05T00:00:00"/>
    <d v="2023-03-05T00:00:00"/>
    <s v="T-T-6-7"/>
    <d v="2023-05-30T00:00:00"/>
    <n v="2.8666666666666667"/>
    <n v="23"/>
    <m/>
    <m/>
    <m/>
    <m/>
    <m/>
    <m/>
    <s v="Level Wise"/>
    <n v="3600"/>
    <n v="3600"/>
    <s v="Yes"/>
    <d v="2023-05-02T00:00:00"/>
    <m/>
    <m/>
  </r>
  <r>
    <n v="16"/>
    <s v="A006"/>
    <x v="5"/>
    <s v="A03"/>
    <s v="A006_Kushal Patil_A03"/>
    <x v="0"/>
    <x v="1"/>
    <n v="1600"/>
    <n v="1600"/>
    <d v="2022-11-27T00:00:00"/>
    <d v="2022-11-27T00:00:00"/>
    <d v="2022-11-27T00:00:00"/>
    <s v="O-T-T-5-6"/>
    <d v="2023-02-12T00:00:00"/>
    <n v="2.5666666666666669"/>
    <n v="21"/>
    <m/>
    <m/>
    <m/>
    <m/>
    <m/>
    <m/>
    <s v="Level Wise"/>
    <n v="3600"/>
    <n v="3600"/>
    <s v="Yes"/>
    <d v="2023-02-12T00:00:00"/>
    <m/>
    <m/>
  </r>
  <r>
    <n v="17"/>
    <s v="A006"/>
    <x v="5"/>
    <s v="A04"/>
    <s v="A006_Kushal Patil_A04"/>
    <x v="0"/>
    <x v="10"/>
    <n v="600"/>
    <n v="600"/>
    <d v="2023-05-02T00:00:00"/>
    <d v="2023-04-16T00:00:00"/>
    <d v="2023-04-16T00:00:00"/>
    <s v="O-T-T-5-6"/>
    <d v="2023-07-30T00:00:00"/>
    <n v="3.5"/>
    <n v="28"/>
    <m/>
    <m/>
    <m/>
    <m/>
    <m/>
    <m/>
    <s v="Level Wise"/>
    <n v="3600"/>
    <n v="3600"/>
    <s v="Yes"/>
    <d v="2023-06-05T00:00:00"/>
    <m/>
    <m/>
  </r>
  <r>
    <n v="18"/>
    <s v="A006"/>
    <x v="5"/>
    <s v="A05"/>
    <s v="A006_Kushal Patil_A05"/>
    <x v="0"/>
    <x v="11"/>
    <n v="600"/>
    <n v="600"/>
    <d v="2023-08-03T00:00:00"/>
    <d v="2023-08-03T00:00:00"/>
    <d v="2023-08-01T00:00:00"/>
    <s v="O-T-T-5-6"/>
    <d v="2023-10-30T00:00:00"/>
    <n v="3"/>
    <n v="24"/>
    <s v="Exam Pending"/>
    <m/>
    <m/>
    <m/>
    <m/>
    <m/>
    <s v="Level Wise"/>
    <n v="3600"/>
    <n v="3600"/>
    <s v="Yes"/>
    <d v="2023-08-03T00:00:00"/>
    <m/>
    <m/>
  </r>
  <r>
    <n v="19"/>
    <s v="A007"/>
    <x v="6"/>
    <s v="A03"/>
    <s v="A007_Selene Kaur_A03"/>
    <x v="0"/>
    <x v="1"/>
    <n v="1600"/>
    <n v="1600"/>
    <d v="2023-01-31T00:00:00"/>
    <d v="2023-02-03T00:00:00"/>
    <d v="2023-02-03T00:00:00"/>
    <s v="M-F-5-6"/>
    <d v="2023-06-01T00:00:00"/>
    <n v="3.9333333333333331"/>
    <n v="32"/>
    <m/>
    <m/>
    <m/>
    <m/>
    <m/>
    <m/>
    <s v="Level Wise"/>
    <n v="3600"/>
    <n v="3600"/>
    <s v="Yes"/>
    <d v="2023-06-01T00:00:00"/>
    <m/>
    <m/>
  </r>
  <r>
    <n v="20"/>
    <s v="A007"/>
    <x v="6"/>
    <s v="A04"/>
    <s v="A007_Selene Kaur_A04"/>
    <x v="0"/>
    <x v="10"/>
    <n v="400"/>
    <n v="400"/>
    <d v="2023-08-02T00:00:00"/>
    <d v="2023-07-28T00:00:00"/>
    <d v="2023-07-28T00:00:00"/>
    <s v="M-F-5-6"/>
    <d v="2023-10-05T00:00:00"/>
    <n v="2.2999999999999998"/>
    <n v="19"/>
    <m/>
    <m/>
    <m/>
    <m/>
    <m/>
    <m/>
    <s v="Level Wise"/>
    <n v="3600"/>
    <n v="3600"/>
    <s v="Yes"/>
    <d v="2023-10-05T00:00:00"/>
    <m/>
    <m/>
  </r>
  <r>
    <n v="21"/>
    <s v="A007"/>
    <x v="6"/>
    <s v="A05"/>
    <s v="A007_Selene Kaur_A05"/>
    <x v="0"/>
    <x v="11"/>
    <n v="400"/>
    <n v="400"/>
    <d v="2023-12-03T00:00:00"/>
    <d v="2023-12-03T00:00:00"/>
    <d v="2023-12-06T00:00:00"/>
    <s v="M-F-5-6"/>
    <d v="2024-04-30T00:00:00"/>
    <n v="4.8666666666666663"/>
    <n v="39"/>
    <s v="Exam Pending"/>
    <m/>
    <m/>
    <m/>
    <m/>
    <m/>
    <s v="Level Wise"/>
    <n v="3600"/>
    <n v="3600"/>
    <s v="Yes"/>
    <d v="2024-02-08T00:00:00"/>
    <m/>
    <m/>
  </r>
  <r>
    <n v="22"/>
    <s v="A008"/>
    <x v="7"/>
    <s v="A01"/>
    <s v="A008_Dighvi Nikumbh_A01"/>
    <x v="0"/>
    <x v="0"/>
    <n v="1600"/>
    <n v="1600"/>
    <d v="2023-02-13T00:00:00"/>
    <d v="2023-02-03T00:00:00"/>
    <d v="2023-02-03T00:00:00"/>
    <s v="M-F-5-6"/>
    <d v="2023-04-30T00:00:00"/>
    <n v="2.8666666666666667"/>
    <n v="23"/>
    <m/>
    <m/>
    <m/>
    <m/>
    <m/>
    <m/>
    <s v="Level Wise"/>
    <n v="3000"/>
    <n v="3000"/>
    <s v="Yes"/>
    <d v="2023-05-21T00:00:00"/>
    <m/>
    <m/>
  </r>
  <r>
    <n v="23"/>
    <s v="A008"/>
    <x v="7"/>
    <s v="A02"/>
    <s v="A008_Dighvi Nikumbh_A02"/>
    <x v="0"/>
    <x v="12"/>
    <n v="400"/>
    <n v="400"/>
    <d v="2023-05-12T00:00:00"/>
    <d v="2023-05-09T00:00:00"/>
    <d v="2023-05-09T00:00:00"/>
    <s v="M-F-5-6"/>
    <d v="2023-08-12T00:00:00"/>
    <n v="3.1666666666666665"/>
    <n v="26"/>
    <m/>
    <m/>
    <m/>
    <m/>
    <m/>
    <m/>
    <s v="Level Wise"/>
    <n v="3000"/>
    <n v="3000"/>
    <s v="Yes"/>
    <d v="2023-08-12T00:00:00"/>
    <m/>
    <m/>
  </r>
  <r>
    <n v="24"/>
    <s v="A008"/>
    <x v="7"/>
    <s v="A03"/>
    <s v="A008_Dighvi Nikumbh_A03"/>
    <x v="0"/>
    <x v="1"/>
    <n v="400"/>
    <n v="400"/>
    <d v="2023-08-14T00:00:00"/>
    <d v="2023-08-14T00:00:00"/>
    <d v="2023-08-14T00:00:00"/>
    <s v="M-F-7-8"/>
    <d v="2024-08-30T00:00:00"/>
    <n v="12.733333333333333"/>
    <n v="102"/>
    <m/>
    <m/>
    <n v="0.91"/>
    <m/>
    <m/>
    <m/>
    <s v="Level Wise"/>
    <n v="3600"/>
    <n v="3600"/>
    <s v="Yes"/>
    <d v="2023-11-20T00:00:00"/>
    <m/>
    <m/>
  </r>
  <r>
    <n v="25"/>
    <s v="A009"/>
    <x v="8"/>
    <s v="A03"/>
    <s v="A009_Saiansh Kumar_A03"/>
    <x v="0"/>
    <x v="1"/>
    <n v="1600"/>
    <n v="1600"/>
    <d v="2023-03-18T00:00:00"/>
    <d v="2023-03-17T00:00:00"/>
    <d v="2023-03-17T00:00:00"/>
    <s v="M-F-5-6"/>
    <d v="2023-10-20T00:00:00"/>
    <n v="7.2333333333333334"/>
    <n v="58"/>
    <m/>
    <m/>
    <m/>
    <m/>
    <m/>
    <m/>
    <s v="Level Wise"/>
    <n v="3600"/>
    <n v="3600"/>
    <s v="Yes"/>
    <d v="2023-07-03T00:00:00"/>
    <m/>
    <m/>
  </r>
  <r>
    <n v="26"/>
    <s v="A009"/>
    <x v="8"/>
    <s v="A04"/>
    <s v="A009_Saiansh Kumar_A04"/>
    <x v="0"/>
    <x v="10"/>
    <n v="400"/>
    <n v="400"/>
    <d v="2023-10-22T00:00:00"/>
    <s v="13-Oct023"/>
    <d v="2023-10-13T00:00:00"/>
    <s v="M-F-5-6"/>
    <d v="2024-02-28T00:00:00"/>
    <n v="4.5999999999999996"/>
    <n v="37"/>
    <m/>
    <m/>
    <m/>
    <m/>
    <m/>
    <m/>
    <s v="Level Wise"/>
    <n v="3600"/>
    <n v="3600"/>
    <s v="Yes"/>
    <d v="2024-02-05T00:00:00"/>
    <m/>
    <m/>
  </r>
  <r>
    <n v="27"/>
    <s v="A010"/>
    <x v="9"/>
    <s v="A02"/>
    <s v="A010_Atharva Titave_A02"/>
    <x v="0"/>
    <x v="12"/>
    <n v="1600"/>
    <n v="1600"/>
    <d v="2023-04-05T00:00:00"/>
    <d v="2023-04-05T00:00:00"/>
    <d v="2023-04-02T00:00:00"/>
    <s v="SAT-4-6"/>
    <d v="2023-07-15T00:00:00"/>
    <n v="3.4666666666666668"/>
    <n v="28"/>
    <m/>
    <m/>
    <m/>
    <m/>
    <m/>
    <m/>
    <s v="Level Wise"/>
    <n v="3600"/>
    <n v="3600"/>
    <s v="Yes"/>
    <d v="2023-05-20T00:00:00"/>
    <m/>
    <m/>
  </r>
  <r>
    <n v="28"/>
    <s v="A010"/>
    <x v="9"/>
    <s v="A03"/>
    <s v="A010_Atharva Titave_A03"/>
    <x v="0"/>
    <x v="1"/>
    <n v="400"/>
    <n v="400"/>
    <d v="2023-07-16T00:00:00"/>
    <d v="2023-07-16T00:00:00"/>
    <d v="2023-07-14T00:00:00"/>
    <s v="SAT-4-6"/>
    <d v="2024-02-20T00:00:00"/>
    <n v="7.3666666666666663"/>
    <n v="59"/>
    <m/>
    <m/>
    <m/>
    <m/>
    <m/>
    <m/>
    <s v="Level Wise"/>
    <n v="3600"/>
    <n v="3600"/>
    <s v="Yes"/>
    <d v="2023-09-30T00:00:00"/>
    <m/>
    <m/>
  </r>
  <r>
    <n v="29"/>
    <s v="A010"/>
    <x v="9"/>
    <s v="A04"/>
    <s v="A010_Atharva Titave_A04"/>
    <x v="0"/>
    <x v="10"/>
    <n v="400"/>
    <n v="400"/>
    <d v="2024-03-01T00:00:00"/>
    <d v="2024-03-01T00:00:00"/>
    <d v="2024-03-09T00:00:00"/>
    <s v="SAT-4-6"/>
    <d v="2024-07-28T00:00:00"/>
    <n v="4.7"/>
    <n v="38"/>
    <d v="2024-07-20T00:00:00"/>
    <d v="2024-07-28T00:00:00"/>
    <n v="0.83"/>
    <m/>
    <m/>
    <m/>
    <s v="Level Wise"/>
    <n v="3600"/>
    <n v="3600"/>
    <s v="Yes"/>
    <d v="2024-05-30T00:00:00"/>
    <n v="5"/>
    <m/>
  </r>
  <r>
    <n v="30"/>
    <s v="A010"/>
    <x v="9"/>
    <s v="A05"/>
    <s v="A010_Atharva Titave_A05"/>
    <x v="0"/>
    <x v="11"/>
    <n v="400"/>
    <n v="400"/>
    <d v="2024-09-18T00:00:00"/>
    <d v="2024-07-28T00:00:00"/>
    <d v="2024-07-28T00:00:00"/>
    <s v="SAT-4-6"/>
    <d v="2025-03-08T00:00:00"/>
    <n v="7.4333333333333336"/>
    <n v="60"/>
    <d v="2025-03-08T00:00:00"/>
    <d v="2025-03-08T00:00:00"/>
    <n v="0.95"/>
    <s v="Yes "/>
    <m/>
    <s v="Yes"/>
    <s v="Level Wise"/>
    <n v="3600"/>
    <n v="3600"/>
    <s v="Yes"/>
    <d v="2024-09-18T00:00:00"/>
    <m/>
    <m/>
  </r>
  <r>
    <n v="31"/>
    <s v="A010"/>
    <x v="9"/>
    <s v="A06"/>
    <s v="A010_Atharva Titave_A06"/>
    <x v="1"/>
    <x v="13"/>
    <n v="400"/>
    <n v="400"/>
    <d v="2025-03-13T00:00:00"/>
    <d v="2025-04-05T00:00:00"/>
    <d v="2025-04-05T00:00:00"/>
    <s v="SAT-4-6"/>
    <m/>
    <m/>
    <m/>
    <m/>
    <m/>
    <m/>
    <m/>
    <m/>
    <m/>
    <s v="Level Wise"/>
    <n v="3600"/>
    <m/>
    <m/>
    <m/>
    <m/>
    <m/>
  </r>
  <r>
    <n v="32"/>
    <s v="A011"/>
    <x v="10"/>
    <s v="A03"/>
    <s v="A011_Shresth Deb_A03"/>
    <x v="0"/>
    <x v="1"/>
    <n v="1600"/>
    <n v="1600"/>
    <d v="2023-04-04T00:00:00"/>
    <d v="2023-04-04T00:00:00"/>
    <d v="2023-04-04T00:00:00"/>
    <s v="M-F-7-8"/>
    <d v="2023-07-21T00:00:00"/>
    <n v="3.6"/>
    <n v="29"/>
    <m/>
    <m/>
    <m/>
    <m/>
    <m/>
    <m/>
    <s v="Monthly"/>
    <n v="4800"/>
    <n v="4800"/>
    <s v="Yes"/>
    <d v="2023-07-06T00:00:00"/>
    <m/>
    <m/>
  </r>
  <r>
    <n v="33"/>
    <s v="A011"/>
    <x v="10"/>
    <s v="A04"/>
    <s v="A011_Shresth Deb_A04"/>
    <x v="0"/>
    <x v="10"/>
    <n v="400"/>
    <n v="400"/>
    <d v="2023-07-28T00:00:00"/>
    <d v="2023-07-28T00:00:00"/>
    <d v="2023-07-17T00:00:00"/>
    <s v="M-F-7-8"/>
    <d v="2023-10-01T00:00:00"/>
    <n v="2.5333333333333332"/>
    <n v="21"/>
    <m/>
    <m/>
    <m/>
    <m/>
    <m/>
    <m/>
    <s v="Monthly"/>
    <n v="3600"/>
    <n v="3600"/>
    <s v="Yes"/>
    <d v="2023-10-02T00:00:00"/>
    <m/>
    <m/>
  </r>
  <r>
    <n v="34"/>
    <s v="A011"/>
    <x v="10"/>
    <s v="A05"/>
    <s v="A011_Shresth Deb_A05"/>
    <x v="0"/>
    <x v="11"/>
    <n v="400"/>
    <n v="400"/>
    <d v="2023-10-09T00:00:00"/>
    <d v="2023-10-06T00:00:00"/>
    <d v="2023-10-06T00:00:00"/>
    <s v="M-F-7-8"/>
    <d v="2024-02-05T00:00:00"/>
    <n v="4.0666666666666664"/>
    <n v="33"/>
    <m/>
    <m/>
    <m/>
    <m/>
    <m/>
    <m/>
    <s v="Monthly"/>
    <n v="4800"/>
    <n v="4800"/>
    <s v="Yes"/>
    <d v="2024-02-05T00:00:00"/>
    <m/>
    <m/>
  </r>
  <r>
    <n v="35"/>
    <s v="A011"/>
    <x v="10"/>
    <s v="A06"/>
    <s v="A011_Shresth Deb_A06"/>
    <x v="0"/>
    <x v="13"/>
    <n v="400"/>
    <n v="400"/>
    <d v="2024-03-11T00:00:00"/>
    <d v="2024-03-01T00:00:00"/>
    <d v="2024-03-01T00:00:00"/>
    <s v="M-F-7-8"/>
    <d v="2025-06-23T00:00:00"/>
    <n v="15.966666666666667"/>
    <n v="128"/>
    <m/>
    <m/>
    <m/>
    <m/>
    <m/>
    <m/>
    <s v="Monthly"/>
    <n v="5400"/>
    <n v="5400"/>
    <s v="NO"/>
    <d v="2024-07-05T00:00:00"/>
    <n v="5"/>
    <m/>
  </r>
  <r>
    <n v="36"/>
    <s v="A011"/>
    <x v="10"/>
    <s v="A07"/>
    <s v="A011_Shresth Deb_A07"/>
    <x v="1"/>
    <x v="14"/>
    <n v="400"/>
    <n v="400"/>
    <d v="2025-06-23T00:00:00"/>
    <d v="2025-06-23T00:00:00"/>
    <m/>
    <m/>
    <m/>
    <m/>
    <m/>
    <m/>
    <m/>
    <m/>
    <m/>
    <m/>
    <m/>
    <s v="Monthly"/>
    <n v="3600"/>
    <n v="3600"/>
    <s v="NO"/>
    <d v="2025-09-02T00:00:00"/>
    <n v="3"/>
    <s v="gpay"/>
  </r>
  <r>
    <n v="37"/>
    <s v="A012"/>
    <x v="11"/>
    <s v="A02"/>
    <s v="A012_Swara Patil_A02"/>
    <x v="0"/>
    <x v="12"/>
    <n v="1600"/>
    <n v="1600"/>
    <d v="2023-04-10T00:00:00"/>
    <d v="2023-04-10T00:00:00"/>
    <d v="2023-04-10T00:00:00"/>
    <s v="SAT-4-6"/>
    <d v="2023-05-27T00:00:00"/>
    <n v="1.5666666666666667"/>
    <n v="13"/>
    <m/>
    <m/>
    <m/>
    <m/>
    <m/>
    <m/>
    <s v="Level Wise"/>
    <n v="3600"/>
    <n v="3600"/>
    <s v="Yes"/>
    <d v="2023-05-27T00:00:00"/>
    <m/>
    <m/>
  </r>
  <r>
    <n v="38"/>
    <s v="A012"/>
    <x v="11"/>
    <s v="A03"/>
    <s v="A012_Swara Patil_A03"/>
    <x v="2"/>
    <x v="1"/>
    <n v="400"/>
    <n v="400"/>
    <d v="2023-08-14T00:00:00"/>
    <d v="2023-08-14T00:00:00"/>
    <d v="2023-08-14T00:00:00"/>
    <s v="SAT-4-6"/>
    <m/>
    <n v="26.333333333333332"/>
    <n v="211"/>
    <m/>
    <m/>
    <m/>
    <m/>
    <m/>
    <m/>
    <s v="Level Wise"/>
    <n v="3600"/>
    <n v="3600"/>
    <s v="Yes"/>
    <d v="2023-08-14T00:00:00"/>
    <m/>
    <m/>
  </r>
  <r>
    <n v="39"/>
    <s v="A013"/>
    <x v="12"/>
    <s v="V01"/>
    <s v="A013_Shlesh Nemade_V01"/>
    <x v="0"/>
    <x v="8"/>
    <n v="0"/>
    <n v="0"/>
    <d v="2023-04-11T00:00:00"/>
    <d v="2023-04-11T00:00:00"/>
    <d v="2023-04-11T00:00:00"/>
    <s v="Daily-10PM"/>
    <d v="2023-05-12T00:00:00"/>
    <n v="1.0333333333333334"/>
    <n v="9"/>
    <m/>
    <m/>
    <m/>
    <m/>
    <m/>
    <m/>
    <s v="Level Wise"/>
    <n v="5000"/>
    <n v="5000"/>
    <s v="Yes"/>
    <d v="2023-05-12T00:00:00"/>
    <m/>
    <m/>
  </r>
  <r>
    <n v="40"/>
    <s v="A014"/>
    <x v="13"/>
    <s v="A01"/>
    <s v="A014_Riyansh Dalvi_A01"/>
    <x v="0"/>
    <x v="0"/>
    <n v="1600"/>
    <n v="1600"/>
    <d v="2023-04-12T00:00:00"/>
    <d v="2023-04-12T00:00:00"/>
    <d v="2023-04-12T00:00:00"/>
    <s v="M-F-5-6"/>
    <d v="2023-07-30T00:00:00"/>
    <n v="3.6333333333333333"/>
    <n v="30"/>
    <s v="Exam is pending"/>
    <m/>
    <m/>
    <m/>
    <m/>
    <m/>
    <s v="Level Wise"/>
    <n v="3600"/>
    <n v="3600"/>
    <d v="2023-04-12T00:00:00"/>
    <m/>
    <m/>
    <m/>
  </r>
  <r>
    <n v="41"/>
    <s v="A015"/>
    <x v="14"/>
    <s v="A03"/>
    <s v="A015_Ishan Prasad_A03"/>
    <x v="0"/>
    <x v="1"/>
    <n v="400"/>
    <n v="400"/>
    <d v="2023-07-14T00:00:00"/>
    <d v="2023-07-14T00:00:00"/>
    <d v="2023-07-10T00:00:00"/>
    <s v="M-F-7-8"/>
    <d v="2024-01-07T00:00:00"/>
    <n v="6.0333333333333332"/>
    <n v="49"/>
    <m/>
    <m/>
    <m/>
    <m/>
    <m/>
    <m/>
    <s v="1st Free"/>
    <n v="3600"/>
    <n v="0"/>
    <s v="NA"/>
    <m/>
    <m/>
    <m/>
  </r>
  <r>
    <n v="42"/>
    <s v="A015"/>
    <x v="14"/>
    <s v="A04"/>
    <s v="A015_Ishan Prasad_A04"/>
    <x v="0"/>
    <x v="10"/>
    <n v="400"/>
    <n v="400"/>
    <d v="2024-01-14T00:00:00"/>
    <d v="2024-01-14T00:00:00"/>
    <d v="2024-01-15T00:00:00"/>
    <s v="M-F-7-8"/>
    <d v="2024-05-09T00:00:00"/>
    <n v="3.8333333333333335"/>
    <n v="31"/>
    <m/>
    <m/>
    <m/>
    <m/>
    <m/>
    <m/>
    <s v="Monthly"/>
    <n v="3600"/>
    <n v="3600"/>
    <s v="Yes"/>
    <d v="2024-05-02T00:00:00"/>
    <m/>
    <m/>
  </r>
  <r>
    <n v="43"/>
    <s v="A015"/>
    <x v="14"/>
    <s v="A05"/>
    <s v="A015_Ishan Prasad_A05"/>
    <x v="2"/>
    <x v="11"/>
    <n v="400"/>
    <n v="400"/>
    <d v="2024-05-16T00:00:00"/>
    <d v="2024-05-07T00:00:00"/>
    <d v="2024-05-07T00:00:00"/>
    <s v="T-T-6-7"/>
    <m/>
    <n v="17.433333333333334"/>
    <n v="140"/>
    <m/>
    <m/>
    <m/>
    <m/>
    <m/>
    <m/>
    <s v="Monthly"/>
    <n v="3600"/>
    <n v="3600"/>
    <s v="NO"/>
    <d v="2024-09-10T00:00:00"/>
    <m/>
    <s v="MAY 24 FEE RECEIVED"/>
  </r>
  <r>
    <n v="44"/>
    <s v="A016"/>
    <x v="15"/>
    <s v="A03"/>
    <s v="A016_Nihir Galani_A03"/>
    <x v="0"/>
    <x v="1"/>
    <n v="550"/>
    <n v="550"/>
    <d v="2023-07-10T00:00:00"/>
    <d v="2023-07-10T00:00:00"/>
    <d v="2023-07-10T00:00:00"/>
    <s v="M-F-5-6"/>
    <d v="2023-09-11T00:00:00"/>
    <n v="2.1"/>
    <n v="17"/>
    <m/>
    <m/>
    <m/>
    <m/>
    <m/>
    <m/>
    <s v="Level Wise"/>
    <n v="3600"/>
    <n v="3600"/>
    <s v="Yes"/>
    <d v="2023-09-11T00:00:00"/>
    <m/>
    <m/>
  </r>
  <r>
    <n v="45"/>
    <s v="A017"/>
    <x v="16"/>
    <s v="A03"/>
    <s v="A017_Aarohi Fegde_A03"/>
    <x v="0"/>
    <x v="1"/>
    <n v="1600"/>
    <n v="1600"/>
    <d v="2023-07-18T00:00:00"/>
    <d v="2023-07-18T00:00:00"/>
    <d v="2023-07-17T00:00:00"/>
    <s v="T-T-6-7"/>
    <d v="2023-11-30T00:00:00"/>
    <n v="4.5333333333333332"/>
    <n v="37"/>
    <m/>
    <m/>
    <m/>
    <m/>
    <m/>
    <m/>
    <s v="Monthly"/>
    <n v="4800"/>
    <n v="4800"/>
    <s v="Yes"/>
    <d v="2023-11-20T00:00:00"/>
    <m/>
    <m/>
  </r>
  <r>
    <n v="46"/>
    <s v="A017"/>
    <x v="16"/>
    <s v="A04"/>
    <s v="A017_Aarohi Fegde_A04"/>
    <x v="0"/>
    <x v="10"/>
    <n v="400"/>
    <n v="400"/>
    <d v="2023-12-04T00:00:00"/>
    <d v="2023-12-04T00:00:00"/>
    <d v="2023-12-04T00:00:00"/>
    <s v="T-T-6-7"/>
    <d v="2024-02-11T00:00:00"/>
    <n v="2.2999999999999998"/>
    <n v="19"/>
    <d v="2024-02-11T00:00:00"/>
    <d v="2024-02-11T00:00:00"/>
    <m/>
    <m/>
    <m/>
    <m/>
    <s v="Monthly"/>
    <n v="2400"/>
    <n v="2400"/>
    <s v="NO"/>
    <d v="2024-02-11T00:00:00"/>
    <m/>
    <m/>
  </r>
  <r>
    <n v="47"/>
    <s v="A017"/>
    <x v="16"/>
    <s v="A05"/>
    <s v="A017_Aarohi Fegde_A05"/>
    <x v="0"/>
    <x v="11"/>
    <n v="400"/>
    <n v="400"/>
    <d v="2024-02-22T00:00:00"/>
    <d v="2024-02-22T00:00:00"/>
    <d v="2024-02-22T00:00:00"/>
    <s v="T-T-6-7"/>
    <d v="2024-05-21T00:00:00"/>
    <n v="2.9666666666666668"/>
    <n v="24"/>
    <d v="2024-05-21T00:00:00"/>
    <d v="2024-05-21T00:00:00"/>
    <n v="0.99"/>
    <m/>
    <m/>
    <m/>
    <s v="Monthly"/>
    <n v="3600"/>
    <n v="3600"/>
    <s v="Yes"/>
    <d v="2024-05-21T00:00:00"/>
    <n v="3"/>
    <m/>
  </r>
  <r>
    <n v="48"/>
    <s v="A017"/>
    <x v="16"/>
    <s v="A06"/>
    <s v="A017_Aarohi Fegde_A06"/>
    <x v="2"/>
    <x v="13"/>
    <n v="400"/>
    <n v="400"/>
    <d v="2024-06-18T00:00:00"/>
    <d v="2024-06-01T00:00:00"/>
    <d v="2024-06-01T00:00:00"/>
    <s v="T-T-6-7"/>
    <m/>
    <n v="16.600000000000001"/>
    <n v="133"/>
    <m/>
    <m/>
    <m/>
    <m/>
    <m/>
    <m/>
    <s v="Monthly"/>
    <n v="3600"/>
    <n v="4800"/>
    <s v="Yes"/>
    <d v="2024-12-13T00:00:00"/>
    <n v="4"/>
    <m/>
  </r>
  <r>
    <n v="49"/>
    <s v="A018"/>
    <x v="17"/>
    <s v="A03"/>
    <s v="A018_Kaivalya Patil_A03"/>
    <x v="0"/>
    <x v="1"/>
    <n v="1600"/>
    <n v="1600"/>
    <d v="2023-08-02T00:00:00"/>
    <d v="2023-08-02T00:00:00"/>
    <d v="2023-07-24T00:00:00"/>
    <m/>
    <d v="2023-11-05T00:00:00"/>
    <n v="3.4666666666666668"/>
    <n v="28"/>
    <m/>
    <m/>
    <m/>
    <m/>
    <m/>
    <m/>
    <s v="Level Wise"/>
    <n v="3600"/>
    <n v="3600"/>
    <s v="Yes"/>
    <d v="2023-11-05T00:00:00"/>
    <m/>
    <m/>
  </r>
  <r>
    <n v="50"/>
    <s v="A019"/>
    <x v="18"/>
    <s v="A08"/>
    <s v="A019_Ira Deshmukh_A08"/>
    <x v="2"/>
    <x v="2"/>
    <n v="1600"/>
    <n v="1600"/>
    <d v="2023-12-01T00:00:00"/>
    <d v="2023-12-01T00:00:00"/>
    <d v="2023-12-01T00:00:00"/>
    <s v="M-F-7-8"/>
    <d v="2024-06-30T00:00:00"/>
    <n v="7.0666666666666664"/>
    <n v="57"/>
    <m/>
    <m/>
    <m/>
    <m/>
    <m/>
    <m/>
    <s v="Monthly"/>
    <n v="8400"/>
    <n v="6000"/>
    <s v="NO"/>
    <d v="2024-07-05T00:00:00"/>
    <n v="7"/>
    <s v="excluding one month "/>
  </r>
  <r>
    <n v="51"/>
    <s v="A020"/>
    <x v="19"/>
    <s v="A08"/>
    <s v="A020_Riyanshi Varma_A08"/>
    <x v="0"/>
    <x v="2"/>
    <n v="400"/>
    <n v="400"/>
    <d v="2023-12-09T00:00:00"/>
    <d v="2023-12-09T00:00:00"/>
    <d v="2023-12-01T00:00:00"/>
    <s v="M-F-5-6"/>
    <d v="2024-04-30T00:00:00"/>
    <n v="5.0333333333333332"/>
    <n v="41"/>
    <m/>
    <m/>
    <m/>
    <m/>
    <m/>
    <m/>
    <s v="Monthly"/>
    <n v="4800"/>
    <n v="4800"/>
    <s v="Yes"/>
    <d v="2024-03-21T00:00:00"/>
    <m/>
    <m/>
  </r>
  <r>
    <n v="52"/>
    <s v="A021"/>
    <x v="20"/>
    <s v="A03"/>
    <s v="A021_Abhay Patil_A03"/>
    <x v="0"/>
    <x v="1"/>
    <n v="1600"/>
    <n v="1600"/>
    <d v="2024-01-14T00:00:00"/>
    <d v="2024-01-15T00:00:00"/>
    <d v="2024-01-15T00:00:00"/>
    <s v="T-T-6-7"/>
    <d v="2024-05-30T00:00:00"/>
    <n v="4.5333333333333332"/>
    <n v="37"/>
    <d v="2024-05-30T00:00:00"/>
    <d v="2024-05-30T00:00:00"/>
    <n v="0.95"/>
    <m/>
    <m/>
    <m/>
    <s v="Monthly"/>
    <n v="4800"/>
    <n v="4800"/>
    <s v="Yes"/>
    <d v="2024-06-04T00:00:00"/>
    <n v="4"/>
    <m/>
  </r>
  <r>
    <n v="53"/>
    <s v="A021"/>
    <x v="20"/>
    <s v="A04"/>
    <s v="A021_Abhay Patil_A04"/>
    <x v="1"/>
    <x v="10"/>
    <n v="400"/>
    <n v="400"/>
    <d v="2024-06-04T00:00:00"/>
    <d v="2024-06-04T00:00:00"/>
    <d v="2025-09-22T00:00:00"/>
    <s v="MT-6-7"/>
    <m/>
    <m/>
    <n v="0"/>
    <m/>
    <m/>
    <m/>
    <m/>
    <m/>
    <m/>
    <s v="Monthly"/>
    <n v="3600"/>
    <n v="4000"/>
    <s v="NO"/>
    <s v="30-MAY-24, 29-Sep-25"/>
    <n v="3"/>
    <s v="Gpay "/>
  </r>
  <r>
    <n v="54"/>
    <s v="A022"/>
    <x v="21"/>
    <s v="A02"/>
    <s v="A022_Prisha Chormule_A02"/>
    <x v="0"/>
    <x v="12"/>
    <n v="1600"/>
    <n v="1600"/>
    <d v="2023-12-06T00:00:00"/>
    <d v="2024-01-18T00:00:00"/>
    <d v="2024-01-18T00:00:00"/>
    <s v="T-T-6-7"/>
    <d v="2024-06-30T00:00:00"/>
    <n v="5.4666666666666668"/>
    <n v="44"/>
    <m/>
    <m/>
    <n v="0.93"/>
    <m/>
    <m/>
    <m/>
    <s v="Level Wise"/>
    <n v="3000"/>
    <n v="3000"/>
    <s v="Yes"/>
    <d v="2024-03-18T00:00:00"/>
    <m/>
    <m/>
  </r>
  <r>
    <n v="55"/>
    <s v="A023"/>
    <x v="22"/>
    <s v="A03"/>
    <s v="A023_Dhruv Bawankar_A03"/>
    <x v="2"/>
    <x v="1"/>
    <n v="1600"/>
    <n v="1600"/>
    <d v="2024-02-09T00:00:00"/>
    <d v="2024-02-09T00:00:00"/>
    <d v="2024-01-25T00:00:00"/>
    <s v="M-W-4-5"/>
    <d v="2024-06-30T00:00:00"/>
    <n v="5.2333333333333334"/>
    <n v="42"/>
    <m/>
    <m/>
    <m/>
    <m/>
    <m/>
    <m/>
    <s v="Monthly"/>
    <n v="10800"/>
    <n v="4800"/>
    <s v="NO"/>
    <d v="2024-06-14T00:00:00"/>
    <n v="9"/>
    <m/>
  </r>
  <r>
    <n v="56"/>
    <s v="A024"/>
    <x v="23"/>
    <s v="A02"/>
    <s v="A024_Shreshth Gupta_A02"/>
    <x v="0"/>
    <x v="12"/>
    <n v="1600"/>
    <n v="1600"/>
    <d v="2024-02-05T00:00:00"/>
    <d v="2024-02-10T00:00:00"/>
    <d v="2024-02-10T00:00:00"/>
    <s v="O-Daily-2-3"/>
    <d v="2024-05-30T00:00:00"/>
    <n v="3.6666666666666665"/>
    <n v="30"/>
    <m/>
    <m/>
    <n v="1"/>
    <m/>
    <m/>
    <m/>
    <s v="Per Session"/>
    <n v="4800"/>
    <n v="4800"/>
    <s v="Yes"/>
    <d v="2024-05-07T00:00:00"/>
    <m/>
    <m/>
  </r>
  <r>
    <n v="57"/>
    <s v="A024"/>
    <x v="23"/>
    <s v="A03"/>
    <s v="A024_Shreshth Gupta_A03"/>
    <x v="3"/>
    <x v="1"/>
    <n v="400"/>
    <n v="400"/>
    <d v="2024-06-01T00:00:00"/>
    <d v="2024-06-01T00:00:00"/>
    <d v="2024-06-01T00:00:00"/>
    <s v="Sun 4-6"/>
    <d v="2025-01-05T00:00:00"/>
    <n v="7.2666666666666666"/>
    <n v="59"/>
    <d v="2025-01-05T00:00:00"/>
    <d v="2025-01-05T00:00:00"/>
    <n v="1"/>
    <m/>
    <m/>
    <m/>
    <s v="Monthly"/>
    <n v="6000"/>
    <n v="7200"/>
    <s v="Yes"/>
    <d v="2024-12-06T00:00:00"/>
    <n v="5"/>
    <m/>
  </r>
  <r>
    <n v="58"/>
    <s v="A024"/>
    <x v="23"/>
    <s v="A04"/>
    <s v="A024_Shreshth Gupta_A04"/>
    <x v="0"/>
    <x v="10"/>
    <n v="400"/>
    <n v="400"/>
    <d v="2025-01-05T00:00:00"/>
    <d v="2025-01-05T00:00:00"/>
    <d v="2025-01-05T00:00:00"/>
    <s v="Sun 4-6"/>
    <d v="2025-06-08T00:00:00"/>
    <n v="5.1333333333333337"/>
    <n v="42"/>
    <d v="2025-06-08T00:00:00"/>
    <d v="2025-06-08T00:00:00"/>
    <n v="0.96"/>
    <m/>
    <m/>
    <m/>
    <s v="Monthly "/>
    <n v="3600"/>
    <n v="6300"/>
    <s v="Yes"/>
    <d v="2025-05-06T00:00:00"/>
    <n v="5"/>
    <s v="gpay"/>
  </r>
  <r>
    <n v="59"/>
    <s v="A024"/>
    <x v="23"/>
    <s v="A05"/>
    <s v="A024_Shreshth Gupta_A05"/>
    <x v="1"/>
    <x v="11"/>
    <n v="400"/>
    <n v="400"/>
    <d v="2025-06-15T00:00:00"/>
    <d v="2025-06-15T00:00:00"/>
    <d v="2025-06-15T00:00:00"/>
    <s v="Sun-4-6"/>
    <m/>
    <m/>
    <m/>
    <m/>
    <m/>
    <m/>
    <m/>
    <m/>
    <m/>
    <s v="Level Wise"/>
    <n v="3600"/>
    <n v="3600"/>
    <s v="Yes"/>
    <d v="2025-07-12T00:00:00"/>
    <n v="1"/>
    <s v="gpay"/>
  </r>
  <r>
    <n v="60"/>
    <s v="A025"/>
    <x v="24"/>
    <s v="A03"/>
    <s v="A025_Chaitnya Bhave_A03"/>
    <x v="0"/>
    <x v="1"/>
    <n v="1600"/>
    <n v="1600"/>
    <d v="2024-02-25T00:00:00"/>
    <d v="2024-03-03T00:00:00"/>
    <d v="2024-03-03T00:00:00"/>
    <s v="SAT-4-6"/>
    <d v="2024-10-03T00:00:00"/>
    <n v="7.1333333333333337"/>
    <n v="58"/>
    <m/>
    <m/>
    <n v="0.95"/>
    <m/>
    <m/>
    <m/>
    <s v="Monthly"/>
    <n v="8400"/>
    <n v="7800"/>
    <s v="Yes"/>
    <d v="2024-09-08T00:00:00"/>
    <n v="7"/>
    <m/>
  </r>
  <r>
    <n v="61"/>
    <s v="A025"/>
    <x v="24"/>
    <s v="A04"/>
    <s v="A025_Chaitnya Bhave_A04"/>
    <x v="0"/>
    <x v="10"/>
    <n v="400"/>
    <n v="400"/>
    <d v="2024-10-10T00:00:00"/>
    <d v="2024-10-06T00:00:00"/>
    <d v="2024-10-06T00:00:00"/>
    <s v="Sun 4-6"/>
    <d v="2025-06-15T00:00:00"/>
    <n v="8.4"/>
    <n v="68"/>
    <d v="2025-06-15T00:00:00"/>
    <d v="2025-06-15T00:00:00"/>
    <n v="0.9"/>
    <s v="N"/>
    <m/>
    <m/>
    <s v="Monthly"/>
    <n v="3600"/>
    <n v="7200"/>
    <s v="Yes"/>
    <d v="2025-05-04T00:00:00"/>
    <n v="4"/>
    <s v="gpay"/>
  </r>
  <r>
    <n v="62"/>
    <s v="A026"/>
    <x v="24"/>
    <s v="A05"/>
    <m/>
    <x v="1"/>
    <x v="11"/>
    <n v="400"/>
    <n v="400"/>
    <d v="2025-06-15T00:00:00"/>
    <d v="2025-06-15T00:00:00"/>
    <d v="2025-06-15T00:00:00"/>
    <s v="Sun 4-6"/>
    <m/>
    <m/>
    <m/>
    <m/>
    <m/>
    <m/>
    <m/>
    <m/>
    <m/>
    <s v="Monthly "/>
    <n v="3600"/>
    <n v="3600"/>
    <s v="Yes "/>
    <d v="2025-08-16T00:00:00"/>
    <n v="3"/>
    <s v="gpay"/>
  </r>
  <r>
    <n v="63"/>
    <s v="A026"/>
    <x v="25"/>
    <s v="A03"/>
    <s v="A026_Aayushman Kale_A03"/>
    <x v="0"/>
    <x v="1"/>
    <n v="1600"/>
    <n v="1600"/>
    <d v="2024-03-26T00:00:00"/>
    <d v="2024-04-01T00:00:00"/>
    <d v="2024-04-01T00:00:00"/>
    <s v="Daily-4-5"/>
    <d v="2024-05-15T00:00:00"/>
    <n v="1.4666666666666666"/>
    <n v="12"/>
    <m/>
    <m/>
    <n v="1"/>
    <m/>
    <m/>
    <m/>
    <s v="Level Wise"/>
    <n v="3600"/>
    <n v="3600"/>
    <s v="Yes"/>
    <d v="2024-05-04T00:00:00"/>
    <m/>
    <m/>
  </r>
  <r>
    <n v="64"/>
    <s v="A026"/>
    <x v="25"/>
    <s v="A04"/>
    <s v="A026_Aayushman Kale_A04"/>
    <x v="0"/>
    <x v="10"/>
    <n v="400"/>
    <n v="400"/>
    <d v="2024-05-16T00:00:00"/>
    <d v="2024-05-16T00:00:00"/>
    <d v="2024-05-18T00:00:00"/>
    <s v="M-W-4-5"/>
    <d v="2024-07-01T00:00:00"/>
    <n v="1.4666666666666666"/>
    <n v="12"/>
    <d v="2024-07-01T00:00:00"/>
    <d v="2024-07-01T00:00:00"/>
    <n v="0.96"/>
    <m/>
    <m/>
    <m/>
    <s v="Level Wise"/>
    <n v="3600"/>
    <n v="3600"/>
    <s v="Yes"/>
    <d v="2024-07-05T00:00:00"/>
    <m/>
    <m/>
  </r>
  <r>
    <n v="65"/>
    <s v="A026"/>
    <x v="25"/>
    <s v="A05"/>
    <s v="A026_Aayushman Kale_A05"/>
    <x v="0"/>
    <x v="11"/>
    <n v="400"/>
    <n v="400"/>
    <d v="2024-07-01T00:00:00"/>
    <d v="2024-07-01T00:00:00"/>
    <d v="2024-07-01T00:00:00"/>
    <s v="M-W-4-5"/>
    <d v="2024-09-18T00:00:00"/>
    <n v="2.6333333333333333"/>
    <n v="22"/>
    <d v="2024-09-18T00:00:00"/>
    <d v="2024-09-18T00:00:00"/>
    <n v="0.96"/>
    <m/>
    <m/>
    <m/>
    <s v="Level Wise"/>
    <n v="3600"/>
    <n v="3100"/>
    <s v="Yes"/>
    <d v="2024-09-21T00:00:00"/>
    <n v="3"/>
    <m/>
  </r>
  <r>
    <n v="66"/>
    <s v="A026"/>
    <x v="25"/>
    <s v="A06"/>
    <s v="A026_Aayushman Kale_A06"/>
    <x v="0"/>
    <x v="15"/>
    <n v="400"/>
    <n v="400"/>
    <d v="2024-09-21T00:00:00"/>
    <d v="2024-09-23T00:00:00"/>
    <d v="2024-09-23T00:00:00"/>
    <s v="M-W-4-5"/>
    <d v="2025-02-17T00:00:00"/>
    <n v="4.9000000000000004"/>
    <n v="40"/>
    <d v="2025-02-17T00:00:00"/>
    <d v="2025-02-17T00:00:00"/>
    <n v="0.99"/>
    <m/>
    <m/>
    <m/>
    <s v="Level Wise"/>
    <n v="3600"/>
    <n v="3600"/>
    <s v="Yes"/>
    <d v="2025-01-17T00:00:00"/>
    <n v="3"/>
    <m/>
  </r>
  <r>
    <n v="67"/>
    <s v="A026"/>
    <x v="25"/>
    <s v="A07"/>
    <s v="A026_Aayushman Kale_A07"/>
    <x v="1"/>
    <x v="16"/>
    <n v="400"/>
    <n v="400"/>
    <d v="2025-02-24T00:00:00"/>
    <d v="2025-02-24T00:00:00"/>
    <d v="2025-02-24T00:00:00"/>
    <s v="M-W-4-5"/>
    <m/>
    <m/>
    <m/>
    <m/>
    <m/>
    <m/>
    <m/>
    <m/>
    <m/>
    <s v="Level Wise"/>
    <n v="3600"/>
    <m/>
    <m/>
    <m/>
    <m/>
    <m/>
  </r>
  <r>
    <n v="68"/>
    <s v="A027"/>
    <x v="26"/>
    <s v="A03"/>
    <s v="A027_Riyansh Pawar_A03"/>
    <x v="0"/>
    <x v="1"/>
    <n v="1600"/>
    <n v="1600"/>
    <d v="2024-04-04T00:00:00"/>
    <d v="2024-04-04T00:00:00"/>
    <d v="2024-04-02T00:00:00"/>
    <s v="O-Daily-2-3"/>
    <d v="2024-05-13T00:00:00"/>
    <n v="1.3666666666666667"/>
    <n v="11"/>
    <d v="2024-05-13T00:00:00"/>
    <d v="2024-05-13T00:00:00"/>
    <n v="0.97"/>
    <m/>
    <m/>
    <m/>
    <s v="Per Session"/>
    <n v="3600"/>
    <n v="3600"/>
    <s v="Yes"/>
    <d v="2024-05-11T00:00:00"/>
    <m/>
    <m/>
  </r>
  <r>
    <n v="69"/>
    <s v="A027"/>
    <x v="26"/>
    <s v="A04"/>
    <s v="A027_Riyansh Pawar_A04"/>
    <x v="0"/>
    <x v="10"/>
    <n v="400"/>
    <n v="400"/>
    <d v="2024-05-04T00:00:00"/>
    <d v="2024-05-13T00:00:00"/>
    <d v="2024-05-13T00:00:00"/>
    <s v="O-T-T-4-5"/>
    <d v="2024-06-15T00:00:00"/>
    <n v="1.1000000000000001"/>
    <n v="9"/>
    <d v="2024-06-15T00:00:00"/>
    <d v="2024-06-15T00:00:00"/>
    <n v="0.92"/>
    <m/>
    <m/>
    <m/>
    <s v="Per Session"/>
    <n v="3600"/>
    <n v="3600"/>
    <s v="Yes"/>
    <d v="2024-06-14T00:00:00"/>
    <m/>
    <m/>
  </r>
  <r>
    <n v="70"/>
    <s v="A027"/>
    <x v="26"/>
    <s v="A05"/>
    <s v="A027_Riyansh Pawar_A05"/>
    <x v="0"/>
    <x v="11"/>
    <n v="400"/>
    <n v="400"/>
    <d v="2024-06-14T00:00:00"/>
    <d v="2024-06-17T00:00:00"/>
    <d v="2024-06-18T00:00:00"/>
    <s v="O-T-T-4-5"/>
    <d v="2024-08-20T00:00:00"/>
    <n v="2.1"/>
    <n v="17"/>
    <d v="2024-08-20T00:00:00"/>
    <d v="2024-08-20T00:00:00"/>
    <n v="0.99"/>
    <m/>
    <m/>
    <m/>
    <s v="Level Wise"/>
    <n v="3600"/>
    <n v="3600"/>
    <s v="Yes"/>
    <d v="2024-08-21T00:00:00"/>
    <m/>
    <m/>
  </r>
  <r>
    <n v="71"/>
    <s v="A027"/>
    <x v="26"/>
    <s v="A06"/>
    <s v="A027_Riyansh Pawar_A06"/>
    <x v="0"/>
    <x v="13"/>
    <n v="400"/>
    <n v="400"/>
    <d v="2024-08-21T00:00:00"/>
    <d v="2024-08-20T00:00:00"/>
    <d v="2024-08-22T00:00:00"/>
    <s v="O-T-T-4-5"/>
    <d v="2024-10-10T00:00:00"/>
    <n v="1.6333333333333333"/>
    <n v="14"/>
    <d v="2024-10-10T00:00:00"/>
    <d v="2024-10-10T00:00:00"/>
    <n v="0.99329999999999996"/>
    <m/>
    <m/>
    <m/>
    <s v="Level Wise"/>
    <n v="3600"/>
    <n v="3600"/>
    <s v="Yes"/>
    <d v="2024-10-11T00:00:00"/>
    <m/>
    <m/>
  </r>
  <r>
    <n v="72"/>
    <s v="A027"/>
    <x v="26"/>
    <s v="A07"/>
    <s v="A027_Riyansh Pawar_A07"/>
    <x v="0"/>
    <x v="14"/>
    <n v="400"/>
    <n v="400"/>
    <d v="2024-10-11T00:00:00"/>
    <d v="2024-10-10T00:00:00"/>
    <d v="2024-10-10T00:00:00"/>
    <s v="O-T-T-4-5"/>
    <d v="2025-01-10T00:00:00"/>
    <n v="3.0666666666666669"/>
    <n v="25"/>
    <d v="2025-01-10T00:00:00"/>
    <d v="2025-01-10T00:00:00"/>
    <n v="0.9375"/>
    <m/>
    <m/>
    <m/>
    <s v="Level Wise"/>
    <n v="3600"/>
    <n v="3600"/>
    <s v="Yes"/>
    <d v="2025-01-11T00:00:00"/>
    <m/>
    <s v="gpay"/>
  </r>
  <r>
    <n v="73"/>
    <s v="A027"/>
    <x v="26"/>
    <s v="A08"/>
    <s v="A027_Riyansh Pawar_A08"/>
    <x v="0"/>
    <x v="17"/>
    <n v="400"/>
    <n v="400"/>
    <d v="2025-01-11T00:00:00"/>
    <d v="2025-01-14T00:00:00"/>
    <d v="2025-01-14T00:00:00"/>
    <s v="O-T-T-4-5"/>
    <d v="2025-06-07T00:00:00"/>
    <m/>
    <m/>
    <d v="2025-06-07T00:00:00"/>
    <d v="2025-06-07T00:00:00"/>
    <n v="0.87"/>
    <m/>
    <m/>
    <m/>
    <s v="Level Wise"/>
    <n v="3600"/>
    <n v="3600"/>
    <s v="Yes "/>
    <d v="2025-06-08T00:00:00"/>
    <m/>
    <s v="Gpay "/>
  </r>
  <r>
    <n v="74"/>
    <s v="A027"/>
    <x v="26"/>
    <s v="A09"/>
    <s v="A027_Riyansh Pawar_A09"/>
    <x v="1"/>
    <x v="18"/>
    <n v="400"/>
    <n v="400"/>
    <d v="2025-06-08T00:00:00"/>
    <d v="2025-06-08T00:00:00"/>
    <d v="2025-06-08T00:00:00"/>
    <s v="O-T-T-4-5"/>
    <m/>
    <m/>
    <m/>
    <m/>
    <m/>
    <m/>
    <m/>
    <m/>
    <m/>
    <s v="Level Wise"/>
    <n v="3600"/>
    <m/>
    <m/>
    <m/>
    <m/>
    <m/>
  </r>
  <r>
    <n v="75"/>
    <s v="A028"/>
    <x v="27"/>
    <s v="A03"/>
    <s v="A028_Jyotiraditya Jagtap_A03"/>
    <x v="0"/>
    <x v="1"/>
    <n v="1600"/>
    <n v="1600"/>
    <d v="2024-04-04T00:00:00"/>
    <d v="2024-04-04T00:00:00"/>
    <d v="2024-04-03T00:00:00"/>
    <s v="Daily-4-5"/>
    <d v="2024-05-15T00:00:00"/>
    <n v="1.4"/>
    <n v="12"/>
    <m/>
    <m/>
    <n v="1"/>
    <m/>
    <m/>
    <m/>
    <s v="Level Wise"/>
    <n v="3600"/>
    <n v="3600"/>
    <s v="NO"/>
    <d v="2024-05-18T00:00:00"/>
    <m/>
    <m/>
  </r>
  <r>
    <n v="76"/>
    <s v="A028"/>
    <x v="27"/>
    <s v="A04"/>
    <s v="A028_Jyotiraditya Jagtap_A04"/>
    <x v="0"/>
    <x v="10"/>
    <n v="400"/>
    <n v="400"/>
    <d v="2024-05-18T00:00:00"/>
    <d v="2024-05-18T00:00:00"/>
    <d v="2024-05-18T00:00:00"/>
    <s v="M-W-4-5"/>
    <d v="2024-07-01T00:00:00"/>
    <n v="1.4666666666666666"/>
    <n v="12"/>
    <d v="2024-07-01T00:00:00"/>
    <d v="2024-07-01T00:00:00"/>
    <n v="1"/>
    <m/>
    <m/>
    <m/>
    <s v="Level Wise"/>
    <n v="3600"/>
    <n v="3600"/>
    <s v="Yes"/>
    <d v="2024-07-08T00:00:00"/>
    <m/>
    <m/>
  </r>
  <r>
    <n v="77"/>
    <s v="A028"/>
    <x v="27"/>
    <s v="A05"/>
    <s v="A028_Jyotiraditya Jagtap_A05"/>
    <x v="0"/>
    <x v="11"/>
    <n v="400"/>
    <n v="400"/>
    <d v="2024-07-01T00:00:00"/>
    <d v="2024-07-01T00:00:00"/>
    <d v="2024-07-01T00:00:00"/>
    <s v="M-W-4-5"/>
    <d v="2024-09-04T00:00:00"/>
    <n v="2.1666666666666665"/>
    <n v="18"/>
    <d v="2024-09-04T00:00:00"/>
    <d v="2024-09-04T00:00:00"/>
    <n v="0.98"/>
    <m/>
    <m/>
    <m/>
    <s v="Level Wise"/>
    <n v="3600"/>
    <n v="3600"/>
    <s v="Yes"/>
    <d v="2024-09-09T00:00:00"/>
    <m/>
    <m/>
  </r>
  <r>
    <n v="78"/>
    <s v="A028"/>
    <x v="27"/>
    <s v="A06"/>
    <m/>
    <x v="0"/>
    <x v="19"/>
    <n v="400"/>
    <n v="400"/>
    <d v="2024-09-04T00:00:00"/>
    <d v="2024-09-04T00:00:00"/>
    <d v="2024-09-09T00:00:00"/>
    <s v="M-W-4-5"/>
    <d v="2025-02-17T00:00:00"/>
    <n v="5.3666666666666663"/>
    <n v="43"/>
    <d v="2025-02-17T00:00:00"/>
    <d v="2025-02-17T00:00:00"/>
    <n v="1"/>
    <s v="Yes "/>
    <n v="4"/>
    <m/>
    <s v="150/Session "/>
    <n v="3600"/>
    <n v="4600"/>
    <s v="Yes"/>
    <d v="2025-03-03T00:00:00"/>
    <n v="4"/>
    <s v="Cash"/>
  </r>
  <r>
    <n v="79"/>
    <s v="A028"/>
    <x v="27"/>
    <s v="A07"/>
    <m/>
    <x v="1"/>
    <x v="14"/>
    <n v="400"/>
    <n v="400"/>
    <d v="2025-03-03T00:00:00"/>
    <d v="2025-02-24T00:00:00"/>
    <d v="2025-02-24T00:00:00"/>
    <s v="M-W-4-5"/>
    <m/>
    <n v="7.666666666666667"/>
    <m/>
    <m/>
    <m/>
    <m/>
    <m/>
    <m/>
    <m/>
    <s v="Level Wise"/>
    <n v="3600"/>
    <m/>
    <s v="NO"/>
    <m/>
    <m/>
    <m/>
  </r>
  <r>
    <n v="80"/>
    <s v="A029"/>
    <x v="28"/>
    <s v="A03"/>
    <s v="A029_Vikramaditya Jagtap_A03"/>
    <x v="0"/>
    <x v="1"/>
    <n v="1600"/>
    <n v="1600"/>
    <d v="2024-04-04T00:00:00"/>
    <d v="2024-04-04T00:00:00"/>
    <d v="2024-04-03T00:00:00"/>
    <s v="Daily-4-5"/>
    <d v="2024-05-15T00:00:00"/>
    <n v="1.4"/>
    <n v="12"/>
    <m/>
    <m/>
    <n v="0.98"/>
    <m/>
    <m/>
    <m/>
    <s v="Level Wise"/>
    <n v="3600"/>
    <n v="3600"/>
    <s v="Yes"/>
    <d v="2024-05-18T00:00:00"/>
    <m/>
    <m/>
  </r>
  <r>
    <n v="81"/>
    <s v="A029"/>
    <x v="28"/>
    <s v="A04"/>
    <s v="A029_Vikramaditya Jagtap_A04"/>
    <x v="0"/>
    <x v="10"/>
    <n v="400"/>
    <n v="400"/>
    <d v="2024-05-18T00:00:00"/>
    <d v="2024-05-18T00:00:00"/>
    <d v="2024-05-18T00:00:00"/>
    <s v="M-W-4-5"/>
    <d v="2024-07-17T00:00:00"/>
    <n v="2"/>
    <n v="16"/>
    <d v="2024-07-17T00:00:00"/>
    <d v="2024-07-17T00:00:00"/>
    <n v="0.98"/>
    <m/>
    <m/>
    <m/>
    <s v="Level Wise"/>
    <n v="3600"/>
    <n v="3600"/>
    <s v="Yes"/>
    <d v="2024-07-19T00:00:00"/>
    <m/>
    <m/>
  </r>
  <r>
    <n v="82"/>
    <s v="A029"/>
    <x v="28"/>
    <s v="A05"/>
    <s v="A029_Vikramaditya Jagtap_A05"/>
    <x v="3"/>
    <x v="11"/>
    <n v="400"/>
    <n v="400"/>
    <d v="2024-07-17T00:00:00"/>
    <d v="2024-07-17T00:00:00"/>
    <d v="2024-07-17T00:00:00"/>
    <s v="M-W-4-5"/>
    <d v="2025-02-17T00:00:00"/>
    <n v="7.166666666666667"/>
    <n v="58"/>
    <d v="2025-02-17T00:00:00"/>
    <d v="2025-02-17T00:00:00"/>
    <n v="0.89"/>
    <s v="No"/>
    <m/>
    <m/>
    <s v="Level Wise"/>
    <n v="3600"/>
    <n v="3600"/>
    <s v="Yes"/>
    <d v="2025-03-03T00:00:00"/>
    <n v="6"/>
    <s v="Cash"/>
  </r>
  <r>
    <n v="83"/>
    <s v="A029"/>
    <x v="28"/>
    <s v="A06"/>
    <m/>
    <x v="1"/>
    <x v="15"/>
    <n v="400"/>
    <n v="400"/>
    <d v="2025-02-24T00:00:00"/>
    <d v="2025-02-24T00:00:00"/>
    <d v="2025-02-24T00:00:00"/>
    <s v="M-W-4-5"/>
    <m/>
    <m/>
    <m/>
    <m/>
    <m/>
    <m/>
    <m/>
    <m/>
    <m/>
    <s v="Level Wise"/>
    <m/>
    <m/>
    <m/>
    <m/>
    <m/>
    <m/>
  </r>
  <r>
    <n v="84"/>
    <s v="A030"/>
    <x v="29"/>
    <s v="A03"/>
    <s v="A030_Swastika Yadhav_A03"/>
    <x v="0"/>
    <x v="1"/>
    <n v="1600"/>
    <n v="1600"/>
    <d v="2024-04-04T00:00:00"/>
    <d v="2024-04-04T00:00:00"/>
    <d v="2024-04-03T00:00:00"/>
    <s v="Daily-4-5"/>
    <d v="2024-05-15T00:00:00"/>
    <n v="1.4"/>
    <n v="12"/>
    <m/>
    <m/>
    <n v="0.94"/>
    <m/>
    <m/>
    <m/>
    <s v="Level Wise"/>
    <n v="3600"/>
    <n v="3600"/>
    <s v="Yes"/>
    <d v="2024-05-18T00:00:00"/>
    <m/>
    <m/>
  </r>
  <r>
    <n v="85"/>
    <s v="A030"/>
    <x v="29"/>
    <s v="A04"/>
    <s v="A030_Swastika Yadhav_A04"/>
    <x v="0"/>
    <x v="10"/>
    <n v="400"/>
    <n v="400"/>
    <d v="2024-05-18T00:00:00"/>
    <d v="2024-05-18T00:00:00"/>
    <d v="2024-05-18T00:00:00"/>
    <s v="M-W-4-5"/>
    <d v="2024-07-01T00:00:00"/>
    <n v="1.4666666666666666"/>
    <n v="12"/>
    <d v="2024-07-01T00:00:00"/>
    <d v="2024-07-01T00:00:00"/>
    <n v="0.98"/>
    <m/>
    <m/>
    <m/>
    <s v="Level Wise"/>
    <n v="3600"/>
    <n v="3600"/>
    <s v="Yes"/>
    <d v="2024-07-03T00:00:00"/>
    <m/>
    <m/>
  </r>
  <r>
    <n v="86"/>
    <s v="A030"/>
    <x v="29"/>
    <s v="A05"/>
    <s v="A030_Swastika Yadhav_A05"/>
    <x v="0"/>
    <x v="11"/>
    <n v="400"/>
    <n v="400"/>
    <d v="2024-07-03T00:00:00"/>
    <d v="2024-07-01T00:00:00"/>
    <d v="2024-07-01T00:00:00"/>
    <s v="M-W-4-5"/>
    <d v="2024-09-09T00:00:00"/>
    <n v="2.3333333333333335"/>
    <n v="19"/>
    <d v="2024-09-09T00:00:00"/>
    <d v="2024-09-09T00:00:00"/>
    <n v="0.96"/>
    <m/>
    <m/>
    <m/>
    <s v="Level Wise"/>
    <n v="3600"/>
    <n v="3600"/>
    <s v="Yes"/>
    <d v="2024-09-27T00:00:00"/>
    <m/>
    <m/>
  </r>
  <r>
    <n v="87"/>
    <s v="A030"/>
    <x v="29"/>
    <s v="A06"/>
    <s v="A030_Swastika Yadhav_A06"/>
    <x v="3"/>
    <x v="19"/>
    <n v="400"/>
    <n v="400"/>
    <d v="2024-09-27T00:00:00"/>
    <d v="2024-09-16T00:00:00"/>
    <d v="2024-09-16T00:00:00"/>
    <s v="Sun 4-6"/>
    <d v="2025-02-22T00:00:00"/>
    <n v="5.3"/>
    <n v="43"/>
    <d v="2025-02-22T00:00:00"/>
    <d v="2025-02-22T00:00:00"/>
    <n v="1"/>
    <s v="yes"/>
    <n v="0.04"/>
    <m/>
    <s v="Level Wise"/>
    <n v="3600"/>
    <n v="3600"/>
    <s v="Yes"/>
    <d v="2025-02-24T00:00:00"/>
    <m/>
    <s v="gpay"/>
  </r>
  <r>
    <n v="88"/>
    <s v="A030"/>
    <x v="29"/>
    <s v="A07"/>
    <s v="A030_Swastika Yadhav_A07"/>
    <x v="2"/>
    <x v="20"/>
    <n v="400"/>
    <m/>
    <d v="2025-04-12T00:00:00"/>
    <d v="2025-04-13T00:00:00"/>
    <d v="2025-04-09T00:00:00"/>
    <s v="M-W-4-5"/>
    <m/>
    <m/>
    <m/>
    <m/>
    <m/>
    <m/>
    <m/>
    <m/>
    <m/>
    <s v="Level Wise"/>
    <n v="3600"/>
    <m/>
    <m/>
    <m/>
    <m/>
    <m/>
  </r>
  <r>
    <n v="89"/>
    <s v="A031"/>
    <x v="30"/>
    <s v="A08"/>
    <s v="A031_Aara Y_A08"/>
    <x v="0"/>
    <x v="2"/>
    <n v="1600"/>
    <n v="1600"/>
    <d v="2024-04-16T00:00:00"/>
    <d v="2024-04-19T00:00:00"/>
    <d v="2024-04-19T00:00:00"/>
    <s v="O-T-T-4-5"/>
    <d v="2024-07-06T00:00:00"/>
    <n v="2.6"/>
    <n v="21"/>
    <d v="2024-07-06T00:00:00"/>
    <d v="2024-07-06T00:00:00"/>
    <n v="1"/>
    <m/>
    <m/>
    <m/>
    <s v="Level Wise"/>
    <n v="3600"/>
    <n v="3600"/>
    <s v="Yes"/>
    <d v="2024-07-10T00:00:00"/>
    <m/>
    <m/>
  </r>
  <r>
    <n v="90"/>
    <s v="A032"/>
    <x v="31"/>
    <s v="A01"/>
    <s v="A032_Nurvi Parad_A01"/>
    <x v="0"/>
    <x v="0"/>
    <n v="1600"/>
    <n v="1600"/>
    <d v="2024-04-23T00:00:00"/>
    <d v="2024-04-24T00:00:00"/>
    <d v="2024-04-24T00:00:00"/>
    <s v="T-T-6-7"/>
    <d v="2025-06-26T00:00:00"/>
    <n v="14.266666666666667"/>
    <n v="115"/>
    <m/>
    <d v="2025-06-26T00:00:00"/>
    <n v="1"/>
    <s v="yes"/>
    <m/>
    <m/>
    <s v="Level Wise"/>
    <n v="3600"/>
    <n v="3600"/>
    <s v="NO"/>
    <s v="5/17/2024,7TH JUL 25"/>
    <m/>
    <s v="Gpay "/>
  </r>
  <r>
    <n v="91"/>
    <s v="A032"/>
    <x v="31"/>
    <s v="A02"/>
    <s v="A032_Nurvi Parad_A02"/>
    <x v="2"/>
    <x v="12"/>
    <n v="400"/>
    <n v="400"/>
    <m/>
    <m/>
    <m/>
    <m/>
    <m/>
    <m/>
    <m/>
    <m/>
    <m/>
    <m/>
    <m/>
    <m/>
    <m/>
    <m/>
    <m/>
    <m/>
    <m/>
    <m/>
    <m/>
    <s v="Gpay "/>
  </r>
  <r>
    <n v="92"/>
    <s v="A033"/>
    <x v="32"/>
    <s v="A08"/>
    <s v="A033_Shubhra Rokade_A08"/>
    <x v="0"/>
    <x v="2"/>
    <n v="1600"/>
    <n v="1600"/>
    <d v="2024-04-29T00:00:00"/>
    <d v="2024-05-01T00:00:00"/>
    <d v="2024-05-01T00:00:00"/>
    <s v="Daily-4-5"/>
    <d v="2024-06-06T00:00:00"/>
    <n v="1.2"/>
    <n v="10"/>
    <m/>
    <m/>
    <n v="0.98"/>
    <m/>
    <m/>
    <m/>
    <s v="Level Wise"/>
    <n v="3600"/>
    <n v="3600"/>
    <s v="Yes"/>
    <d v="2024-06-07T00:00:00"/>
    <m/>
    <m/>
  </r>
  <r>
    <n v="93"/>
    <s v="A033"/>
    <x v="32"/>
    <s v="A09"/>
    <s v="A033_Shubhra Rokade_A09"/>
    <x v="0"/>
    <x v="3"/>
    <n v="400"/>
    <n v="400"/>
    <d v="2024-06-07T00:00:00"/>
    <d v="2024-06-07T00:00:00"/>
    <d v="2024-06-07T00:00:00"/>
    <s v="M-F-7-8"/>
    <d v="2024-07-05T00:00:00"/>
    <n v="0.93333333333333335"/>
    <n v="8"/>
    <d v="2024-07-05T00:00:00"/>
    <d v="2024-07-05T00:00:00"/>
    <n v="1"/>
    <m/>
    <m/>
    <m/>
    <s v="Level Wise"/>
    <n v="3600"/>
    <n v="3000"/>
    <s v="Yes"/>
    <d v="2024-07-09T00:00:00"/>
    <m/>
    <m/>
  </r>
  <r>
    <n v="94"/>
    <s v="A033"/>
    <x v="32"/>
    <s v="A10"/>
    <s v="A033_Shubhra Rokade_A10"/>
    <x v="0"/>
    <x v="4"/>
    <n v="400"/>
    <n v="400"/>
    <d v="2024-07-08T00:00:00"/>
    <d v="2024-07-08T00:00:00"/>
    <d v="2024-07-08T00:00:00"/>
    <s v="M-F-7-8"/>
    <d v="2024-09-14T00:00:00"/>
    <n v="2.2666666666666666"/>
    <n v="19"/>
    <d v="2024-09-14T00:00:00"/>
    <d v="2024-09-14T00:00:00"/>
    <n v="0.99109999999999998"/>
    <m/>
    <m/>
    <m/>
    <s v="Level Wise"/>
    <n v="3600"/>
    <n v="3000"/>
    <s v="Yes"/>
    <d v="2025-01-18T00:00:00"/>
    <s v="Gpay"/>
    <m/>
  </r>
  <r>
    <n v="95"/>
    <s v="A033"/>
    <x v="32"/>
    <s v="A11"/>
    <s v="A033_Shubhra Rokade_A11"/>
    <x v="3"/>
    <x v="5"/>
    <n v="400"/>
    <n v="400"/>
    <d v="2024-09-17T00:00:00"/>
    <d v="2024-09-13T00:00:00"/>
    <d v="2024-09-13T00:00:00"/>
    <s v="M-F-7-8"/>
    <d v="2025-01-13T00:00:00"/>
    <n v="4.0666666666666664"/>
    <n v="33"/>
    <d v="2025-01-13T00:00:00"/>
    <d v="2025-01-13T00:00:00"/>
    <n v="0.86"/>
    <m/>
    <m/>
    <m/>
    <s v="Level Wise"/>
    <n v="3600"/>
    <n v="3600"/>
    <s v="Yes "/>
    <m/>
    <m/>
    <m/>
  </r>
  <r>
    <n v="96"/>
    <s v="A033"/>
    <x v="32"/>
    <s v="A12"/>
    <s v="A033_Shubhra Rokade_A12"/>
    <x v="0"/>
    <x v="17"/>
    <n v="400"/>
    <n v="400"/>
    <d v="2025-01-18T00:00:00"/>
    <d v="2025-01-22T00:00:00"/>
    <d v="2025-01-22T00:00:00"/>
    <s v="M-W-7-8"/>
    <d v="2025-07-09T00:00:00"/>
    <n v="5.6"/>
    <n v="45"/>
    <d v="2025-07-09T00:00:00"/>
    <d v="2025-07-09T00:00:00"/>
    <n v="0.88"/>
    <m/>
    <m/>
    <m/>
    <s v="Session wise"/>
    <n v="3600"/>
    <n v="4200"/>
    <s v="Yes"/>
    <d v="2025-06-30T00:00:00"/>
    <s v="28-Sessions"/>
    <s v="gpay"/>
  </r>
  <r>
    <n v="97"/>
    <s v="A034"/>
    <x v="33"/>
    <s v="A03"/>
    <s v="A034_Shreya Asarma_A03"/>
    <x v="0"/>
    <x v="1"/>
    <n v="1600"/>
    <n v="1600"/>
    <d v="2024-05-04T00:00:00"/>
    <d v="2024-05-04T00:00:00"/>
    <d v="2024-05-04T00:00:00"/>
    <s v="O-T-T-4-5"/>
    <d v="2024-06-22T00:00:00"/>
    <n v="1.6333333333333333"/>
    <n v="14"/>
    <d v="2024-06-22T00:00:00"/>
    <d v="2024-06-22T00:00:00"/>
    <n v="0.95"/>
    <m/>
    <m/>
    <m/>
    <s v="1st Free"/>
    <n v="0"/>
    <n v="0"/>
    <s v="NA"/>
    <m/>
    <m/>
    <m/>
  </r>
  <r>
    <n v="98"/>
    <s v="A034"/>
    <x v="33"/>
    <s v="A04"/>
    <s v="A034_Shreya Asarma_A04"/>
    <x v="3"/>
    <x v="10"/>
    <n v="400"/>
    <n v="400"/>
    <d v="2024-08-31T00:00:00"/>
    <d v="2024-08-31T00:00:00"/>
    <d v="2024-09-03T00:00:00"/>
    <s v="O-T-T-4-5"/>
    <d v="2024-12-01T00:00:00"/>
    <n v="2.9666666666666668"/>
    <n v="24"/>
    <d v="2024-12-01T00:00:00"/>
    <d v="2024-12-01T00:00:00"/>
    <n v="1"/>
    <m/>
    <m/>
    <m/>
    <s v="Monthly"/>
    <n v="3600"/>
    <n v="3600"/>
    <s v="Yes"/>
    <d v="2024-11-04T00:00:00"/>
    <n v="3"/>
    <m/>
  </r>
  <r>
    <n v="99"/>
    <s v="A034"/>
    <x v="33"/>
    <s v="A05"/>
    <s v="A034_Shreya Asarma_A05"/>
    <x v="0"/>
    <x v="11"/>
    <n v="400"/>
    <n v="400"/>
    <d v="2024-12-19T00:00:00"/>
    <d v="2024-12-19T00:00:00"/>
    <d v="2024-12-19T00:00:00"/>
    <s v="O-T-T-4-5"/>
    <d v="2025-05-31T00:00:00"/>
    <n v="5.4333333333333336"/>
    <n v="44"/>
    <d v="2025-05-31T00:00:00"/>
    <d v="2025-05-31T00:00:00"/>
    <n v="0.96"/>
    <m/>
    <m/>
    <m/>
    <s v="levelwise "/>
    <n v="3600"/>
    <n v="3600"/>
    <s v="Yes "/>
    <d v="2025-03-25T00:00:00"/>
    <m/>
    <s v="Gpay "/>
  </r>
  <r>
    <m/>
    <s v="A034"/>
    <x v="33"/>
    <s v="A06"/>
    <s v="A034_Shreya Asarma_A06"/>
    <x v="1"/>
    <x v="13"/>
    <n v="400"/>
    <n v="400"/>
    <d v="2025-05-31T00:00:00"/>
    <d v="2025-05-31T00:00:00"/>
    <d v="2025-06-03T00:00:00"/>
    <s v="O-T-T-4-5"/>
    <m/>
    <m/>
    <m/>
    <m/>
    <m/>
    <m/>
    <m/>
    <m/>
    <m/>
    <s v="Level Wise"/>
    <n v="3600"/>
    <n v="3600"/>
    <s v="Yes "/>
    <d v="2025-07-21T00:00:00"/>
    <m/>
    <m/>
  </r>
  <r>
    <n v="100"/>
    <s v="A035"/>
    <x v="34"/>
    <s v="A08"/>
    <s v="A035_Swara Kondhare_A08"/>
    <x v="2"/>
    <x v="2"/>
    <n v="1600"/>
    <n v="1600"/>
    <d v="2024-05-09T00:00:00"/>
    <d v="2024-05-09T00:00:00"/>
    <d v="2024-05-09T00:00:00"/>
    <s v="SAT-4-6"/>
    <m/>
    <n v="17.366666666666667"/>
    <n v="139"/>
    <m/>
    <m/>
    <m/>
    <m/>
    <m/>
    <m/>
    <s v="Level Wise"/>
    <n v="3600"/>
    <n v="1400"/>
    <s v="NO"/>
    <d v="2024-05-10T00:00:00"/>
    <m/>
    <m/>
  </r>
  <r>
    <n v="101"/>
    <s v="A036"/>
    <x v="35"/>
    <s v="A02"/>
    <s v="A036_Yashwi Patil_A02"/>
    <x v="0"/>
    <x v="12"/>
    <n v="1600"/>
    <n v="1600"/>
    <d v="2024-05-13T00:00:00"/>
    <d v="2024-05-13T00:00:00"/>
    <d v="2024-05-13T00:00:00"/>
    <s v="T-T-6-7"/>
    <d v="2024-06-26T00:00:00"/>
    <n v="1.4666666666666666"/>
    <n v="12"/>
    <d v="2024-06-26T00:00:00"/>
    <d v="2024-06-26T00:00:00"/>
    <n v="0.96"/>
    <m/>
    <m/>
    <m/>
    <s v="Level Wise"/>
    <n v="3600"/>
    <n v="3600"/>
    <s v="Yes"/>
    <d v="2024-06-27T00:00:00"/>
    <m/>
    <m/>
  </r>
  <r>
    <n v="102"/>
    <s v="A037"/>
    <x v="36"/>
    <s v="A03"/>
    <s v="A037_Spruha Patil_A03"/>
    <x v="0"/>
    <x v="1"/>
    <n v="550"/>
    <n v="550"/>
    <d v="2024-05-14T00:00:00"/>
    <d v="2024-05-14T00:00:00"/>
    <d v="2024-05-14T00:00:00"/>
    <s v="M-F-7-8"/>
    <d v="2024-09-29T00:00:00"/>
    <n v="4.5999999999999996"/>
    <n v="37"/>
    <d v="2024-09-29T00:00:00"/>
    <d v="2024-09-29T00:00:00"/>
    <n v="0.95"/>
    <m/>
    <m/>
    <m/>
    <s v="Level Wise"/>
    <n v="3600"/>
    <n v="3600"/>
    <s v="Yes"/>
    <d v="2024-09-21T00:00:00"/>
    <d v="1900-01-03T00:00:00"/>
    <m/>
  </r>
  <r>
    <n v="103"/>
    <s v="A037"/>
    <x v="36"/>
    <s v="A04"/>
    <s v="A037_Spruha Patil_A04"/>
    <x v="1"/>
    <x v="21"/>
    <n v="400"/>
    <n v="400"/>
    <d v="2024-10-19T00:00:00"/>
    <d v="2024-10-14T00:00:00"/>
    <d v="2024-10-14T00:00:00"/>
    <s v="SAT-4-6"/>
    <m/>
    <n v="12.1"/>
    <n v="97"/>
    <m/>
    <m/>
    <m/>
    <m/>
    <m/>
    <m/>
    <s v="Level Wise"/>
    <n v="3600"/>
    <n v="1800"/>
    <s v="NO"/>
    <d v="2024-11-19T00:00:00"/>
    <m/>
    <m/>
  </r>
  <r>
    <n v="104"/>
    <s v="A038"/>
    <x v="37"/>
    <s v="A08"/>
    <s v="A038_Aaradhya _A08"/>
    <x v="0"/>
    <x v="2"/>
    <n v="600"/>
    <n v="600"/>
    <d v="2024-06-17T00:00:00"/>
    <d v="2024-06-17T00:00:00"/>
    <d v="2024-06-12T00:00:00"/>
    <s v="M-W-4-5"/>
    <d v="2025-01-10T00:00:00"/>
    <n v="7.0666666666666664"/>
    <n v="57"/>
    <d v="2025-01-10T00:00:00"/>
    <d v="2025-01-10T00:00:00"/>
    <n v="0.96"/>
    <s v="yes"/>
    <m/>
    <m/>
    <s v="Monthly"/>
    <n v="3600"/>
    <n v="6000"/>
    <s v="Yes"/>
    <d v="2025-01-10T00:00:00"/>
    <n v="5"/>
    <s v="Cash"/>
  </r>
  <r>
    <n v="105"/>
    <s v="A038"/>
    <x v="37"/>
    <s v="A09"/>
    <s v="A038_Aaradhya _A09"/>
    <x v="0"/>
    <x v="3"/>
    <n v="400"/>
    <n v="400"/>
    <d v="2025-01-10T00:00:00"/>
    <d v="2025-01-13T00:00:00"/>
    <d v="2025-01-13T00:00:00"/>
    <s v="M-W-TH-4-5"/>
    <d v="2025-05-19T00:00:00"/>
    <n v="4.2"/>
    <n v="34"/>
    <d v="2025-05-19T00:00:00"/>
    <d v="2025-05-19T00:00:00"/>
    <n v="0.98"/>
    <s v="No"/>
    <m/>
    <m/>
    <s v="levelwise "/>
    <n v="3600"/>
    <n v="3600"/>
    <s v="Yes "/>
    <d v="2025-05-19T00:00:00"/>
    <m/>
    <s v="Cash"/>
  </r>
  <r>
    <n v="106"/>
    <s v="A038"/>
    <x v="37"/>
    <s v="A09"/>
    <s v="A038_Aaradhya _A09"/>
    <x v="1"/>
    <x v="4"/>
    <n v="400"/>
    <n v="400"/>
    <d v="2025-06-04T00:00:00"/>
    <d v="2025-06-04T00:00:00"/>
    <d v="2025-06-04T00:00:00"/>
    <s v="M-W-4-5"/>
    <m/>
    <m/>
    <m/>
    <m/>
    <m/>
    <m/>
    <m/>
    <m/>
    <m/>
    <s v="Level Wise"/>
    <n v="3600"/>
    <m/>
    <m/>
    <m/>
    <m/>
    <m/>
  </r>
  <r>
    <n v="107"/>
    <s v="A039"/>
    <x v="38"/>
    <s v="A02"/>
    <s v="A039_Prisha Shah_A02"/>
    <x v="2"/>
    <x v="12"/>
    <n v="1600"/>
    <n v="1600"/>
    <d v="2024-06-12T00:00:00"/>
    <d v="2024-06-18T00:00:00"/>
    <d v="2024-06-13T00:00:00"/>
    <s v="W-F-6-7"/>
    <m/>
    <n v="16.2"/>
    <n v="130"/>
    <m/>
    <m/>
    <m/>
    <m/>
    <m/>
    <m/>
    <s v="Level Wise"/>
    <n v="3000"/>
    <n v="3000"/>
    <s v="Yes"/>
    <d v="2024-07-06T00:00:00"/>
    <m/>
    <m/>
  </r>
  <r>
    <n v="108"/>
    <s v="A040"/>
    <x v="39"/>
    <s v="A03"/>
    <s v="A040_Arnav Sachin Patil_A03"/>
    <x v="0"/>
    <x v="1"/>
    <n v="1600"/>
    <n v="1600"/>
    <d v="2024-06-23T00:00:00"/>
    <d v="2024-06-28T00:00:00"/>
    <d v="2024-06-24T00:00:00"/>
    <s v="M-F-7-8"/>
    <d v="2024-10-04T00:00:00"/>
    <n v="3.4"/>
    <n v="28"/>
    <d v="2024-10-04T00:00:00"/>
    <d v="2024-10-04T00:00:00"/>
    <n v="0.93"/>
    <m/>
    <m/>
    <m/>
    <s v="Monthly"/>
    <n v="3600"/>
    <n v="3600"/>
    <s v="Yes"/>
    <d v="2024-09-24T00:00:00"/>
    <n v="3"/>
    <m/>
  </r>
  <r>
    <n v="109"/>
    <s v="A040"/>
    <x v="39"/>
    <s v="A04"/>
    <s v="A040_Arnav Sachin Patil_A04"/>
    <x v="2"/>
    <x v="10"/>
    <n v="400"/>
    <n v="400"/>
    <d v="2024-10-05T00:00:00"/>
    <d v="2024-10-04T00:00:00"/>
    <d v="2024-10-07T00:00:00"/>
    <s v="M-F-7-8"/>
    <m/>
    <n v="12.333333333333334"/>
    <n v="99"/>
    <m/>
    <m/>
    <m/>
    <m/>
    <m/>
    <m/>
    <s v="Monthly"/>
    <n v="3600"/>
    <n v="4800"/>
    <s v="Yes"/>
    <d v="2025-01-29T00:00:00"/>
    <n v="4"/>
    <s v="gpay"/>
  </r>
  <r>
    <n v="110"/>
    <s v="A041"/>
    <x v="40"/>
    <s v="A02"/>
    <s v="A041_Avyaan Chaumal_A02"/>
    <x v="0"/>
    <x v="22"/>
    <n v="1600"/>
    <n v="1600"/>
    <d v="2024-06-23T00:00:00"/>
    <d v="2024-06-24T00:00:00"/>
    <d v="2024-06-24T00:00:00"/>
    <s v="W-F-6-7"/>
    <d v="2024-10-28T00:00:00"/>
    <n v="4.2"/>
    <n v="34"/>
    <d v="2024-10-28T00:00:00"/>
    <d v="2024-10-28T00:00:00"/>
    <n v="1"/>
    <m/>
    <m/>
    <m/>
    <s v="Monthly"/>
    <n v="3600"/>
    <n v="3600"/>
    <s v="Yes"/>
    <d v="2024-10-06T00:00:00"/>
    <n v="3"/>
    <m/>
  </r>
  <r>
    <n v="111"/>
    <s v="A041"/>
    <x v="40"/>
    <s v="A03"/>
    <s v="A041_Avyaan Chaumal_A03"/>
    <x v="2"/>
    <x v="23"/>
    <n v="400"/>
    <n v="400"/>
    <d v="2024-11-30T00:00:00"/>
    <d v="2024-11-29T00:00:00"/>
    <d v="2024-11-20T00:00:00"/>
    <s v="T-T-6-7"/>
    <m/>
    <n v="10.866666666666667"/>
    <n v="87"/>
    <m/>
    <m/>
    <m/>
    <m/>
    <m/>
    <m/>
    <s v="Monthly "/>
    <n v="3600"/>
    <n v="4800"/>
    <s v="Yes "/>
    <d v="2025-04-10T00:00:00"/>
    <n v="4"/>
    <s v="gpay"/>
  </r>
  <r>
    <n v="112"/>
    <s v="A042"/>
    <x v="41"/>
    <s v="A02"/>
    <s v="A042_Ishanvi Bhatt_A02"/>
    <x v="0"/>
    <x v="22"/>
    <n v="1600"/>
    <n v="1600"/>
    <d v="2024-07-02T00:00:00"/>
    <d v="2024-07-02T00:00:00"/>
    <d v="2024-06-27T00:00:00"/>
    <s v="W-F-6-7"/>
    <d v="2024-11-20T00:00:00"/>
    <n v="4.8666666666666663"/>
    <n v="39"/>
    <d v="2024-11-20T00:00:00"/>
    <d v="2024-11-20T00:00:00"/>
    <n v="0.92"/>
    <m/>
    <m/>
    <m/>
    <s v="Monthly"/>
    <n v="6000"/>
    <n v="4800"/>
    <s v="Yes"/>
    <d v="2024-10-25T00:00:00"/>
    <n v="4"/>
    <m/>
  </r>
  <r>
    <n v="113"/>
    <s v="A042"/>
    <x v="41"/>
    <s v="A03"/>
    <s v="A042_Ishanvi Bhatt_A03"/>
    <x v="2"/>
    <x v="23"/>
    <n v="400"/>
    <n v="400"/>
    <d v="2024-11-29T00:00:00"/>
    <d v="2024-11-27T00:00:00"/>
    <d v="2024-11-27T00:00:00"/>
    <s v="T-T-6-7"/>
    <m/>
    <n v="10.633333333333333"/>
    <n v="86"/>
    <m/>
    <m/>
    <m/>
    <m/>
    <m/>
    <m/>
    <s v="Monthly"/>
    <n v="3600"/>
    <n v="7200"/>
    <s v="Yes "/>
    <d v="2025-04-03T00:00:00"/>
    <n v="6"/>
    <s v="gpay"/>
  </r>
  <r>
    <n v="114"/>
    <s v="A043"/>
    <x v="42"/>
    <s v="A02"/>
    <s v="A043_Divisha Vyawahare_A02"/>
    <x v="0"/>
    <x v="22"/>
    <n v="1600"/>
    <n v="1600"/>
    <d v="2024-07-05T00:00:00"/>
    <d v="2024-07-10T00:00:00"/>
    <d v="2024-07-02T00:00:00"/>
    <s v="W-F-6-7"/>
    <d v="2024-11-15T00:00:00"/>
    <n v="4.5333333333333332"/>
    <n v="37"/>
    <d v="2024-11-15T00:00:00"/>
    <d v="2024-11-15T00:00:00"/>
    <n v="1"/>
    <m/>
    <m/>
    <m/>
    <s v="Monthly"/>
    <n v="3600"/>
    <n v="4800"/>
    <s v="Yes"/>
    <d v="2024-10-04T00:00:00"/>
    <n v="4"/>
    <m/>
  </r>
  <r>
    <n v="115"/>
    <s v="A043"/>
    <x v="42"/>
    <s v="A03"/>
    <s v="A043_Divisha Vyawahare_A03"/>
    <x v="2"/>
    <x v="1"/>
    <n v="400"/>
    <n v="400"/>
    <d v="2024-11-22T00:00:00"/>
    <d v="2024-11-20T00:00:00"/>
    <d v="2024-11-20T00:00:00"/>
    <s v="W-F-6-7"/>
    <m/>
    <n v="10.866666666666667"/>
    <n v="87"/>
    <m/>
    <m/>
    <m/>
    <m/>
    <m/>
    <m/>
    <s v="Monthly"/>
    <n v="3600"/>
    <n v="8400"/>
    <s v="Yes "/>
    <d v="2025-05-13T00:00:00"/>
    <n v="7"/>
    <s v="Gpay "/>
  </r>
  <r>
    <n v="116"/>
    <s v="A044"/>
    <x v="43"/>
    <s v="A01"/>
    <s v="A044_Paridhi Agarwal_A01"/>
    <x v="0"/>
    <x v="0"/>
    <n v="1600"/>
    <n v="1600"/>
    <d v="2024-07-18T00:00:00"/>
    <d v="2024-07-19T00:00:00"/>
    <d v="2024-07-17T00:00:00"/>
    <s v="W-F-6-7"/>
    <d v="2024-12-08T00:00:00"/>
    <n v="4.8"/>
    <n v="39"/>
    <d v="2024-12-08T00:00:00"/>
    <d v="2024-12-08T00:00:00"/>
    <n v="1"/>
    <m/>
    <m/>
    <m/>
    <s v="Monthly"/>
    <n v="3600"/>
    <n v="4800"/>
    <s v="Yes"/>
    <d v="2024-12-09T00:00:00"/>
    <n v="3"/>
    <m/>
  </r>
  <r>
    <n v="117"/>
    <s v="A044"/>
    <x v="43"/>
    <s v="A02"/>
    <s v="A044_Paridhi Agarwal_A02"/>
    <x v="1"/>
    <x v="22"/>
    <n v="400"/>
    <n v="400"/>
    <d v="2024-12-12T00:00:00"/>
    <d v="2024-12-19T00:00:00"/>
    <d v="2024-12-11T00:00:00"/>
    <s v="T-T-6-7"/>
    <m/>
    <n v="10.166666666666666"/>
    <n v="82"/>
    <m/>
    <m/>
    <m/>
    <m/>
    <m/>
    <m/>
    <s v="Monthly"/>
    <n v="3600"/>
    <n v="2400"/>
    <s v="NO"/>
    <d v="2025-03-07T00:00:00"/>
    <n v="2"/>
    <s v="Gpay "/>
  </r>
  <r>
    <n v="118"/>
    <s v="A045"/>
    <x v="44"/>
    <s v="A02"/>
    <s v="A045_Navya Thakkar_A02"/>
    <x v="0"/>
    <x v="22"/>
    <n v="1600"/>
    <n v="1600"/>
    <d v="2024-07-30T00:00:00"/>
    <d v="2024-07-23T00:00:00"/>
    <d v="2024-07-18T00:00:00"/>
    <s v="T-T-6-7"/>
    <d v="2024-11-07T00:00:00"/>
    <n v="3.7333333333333334"/>
    <n v="30"/>
    <d v="2024-11-07T00:00:00"/>
    <d v="2024-11-07T00:00:00"/>
    <n v="0.96"/>
    <m/>
    <m/>
    <m/>
    <s v="Monthly"/>
    <n v="3600"/>
    <n v="3600"/>
    <s v="Yes"/>
    <d v="2024-10-01T00:00:00"/>
    <n v="3"/>
    <m/>
  </r>
  <r>
    <n v="119"/>
    <s v="A045"/>
    <x v="44"/>
    <s v="A03"/>
    <s v="A045_Navya Thakkar_A03"/>
    <x v="1"/>
    <x v="1"/>
    <n v="400"/>
    <n v="400"/>
    <d v="2024-11-16T00:00:00"/>
    <d v="2024-11-12T00:00:00"/>
    <d v="2024-11-12T00:00:00"/>
    <s v="T-T-6-7"/>
    <m/>
    <n v="11.133333333333333"/>
    <n v="90"/>
    <m/>
    <m/>
    <m/>
    <m/>
    <m/>
    <m/>
    <s v="Monthly"/>
    <n v="3600"/>
    <n v="4800"/>
    <s v="Yes "/>
    <d v="2025-02-22T00:00:00"/>
    <n v="4"/>
    <s v="gpay"/>
  </r>
  <r>
    <n v="120"/>
    <s v="A046"/>
    <x v="45"/>
    <s v="A03"/>
    <s v="A046_Shridnyesh Aher_A03"/>
    <x v="0"/>
    <x v="23"/>
    <n v="1600"/>
    <n v="1600"/>
    <d v="2024-08-05T00:00:00"/>
    <d v="2024-08-05T00:00:00"/>
    <d v="2024-08-05T00:00:00"/>
    <s v="SAT-4-6"/>
    <d v="2025-01-11T00:00:00"/>
    <n v="5.3"/>
    <n v="43"/>
    <d v="2025-01-11T00:00:00"/>
    <d v="2025-01-11T00:00:00"/>
    <n v="0.98"/>
    <m/>
    <m/>
    <m/>
    <s v="Monthly"/>
    <n v="3600"/>
    <n v="7200"/>
    <s v="Yes"/>
    <d v="2025-01-02T00:00:00"/>
    <n v="5"/>
    <m/>
  </r>
  <r>
    <n v="121"/>
    <s v="A046"/>
    <x v="45"/>
    <s v="A04"/>
    <s v="A046_Shridnyesh Aher_A04"/>
    <x v="1"/>
    <x v="10"/>
    <n v="400"/>
    <n v="400"/>
    <m/>
    <d v="2025-01-18T00:00:00"/>
    <d v="2025-01-18T00:00:00"/>
    <s v="SAT-4-6"/>
    <m/>
    <m/>
    <m/>
    <m/>
    <m/>
    <m/>
    <m/>
    <m/>
    <m/>
    <s v="Monthly"/>
    <n v="3600"/>
    <n v="3600"/>
    <s v="NO"/>
    <d v="2025-07-26T00:00:00"/>
    <n v="3"/>
    <s v="phone pay "/>
  </r>
  <r>
    <n v="122"/>
    <s v="A047"/>
    <x v="46"/>
    <s v="A02"/>
    <s v="A047_Arnish Jhamtani_A02"/>
    <x v="0"/>
    <x v="22"/>
    <n v="1600"/>
    <n v="1600"/>
    <d v="2024-08-04T00:00:00"/>
    <d v="2024-08-15T00:00:00"/>
    <d v="2024-08-15T00:00:00"/>
    <s v="SAT-4-6"/>
    <d v="2024-10-26T00:00:00"/>
    <n v="2.4"/>
    <n v="20"/>
    <d v="2024-10-26T00:00:00"/>
    <d v="2024-10-26T00:00:00"/>
    <n v="1"/>
    <m/>
    <m/>
    <m/>
    <s v="Level Wise"/>
    <n v="3600"/>
    <n v="3600"/>
    <s v="Yes"/>
    <d v="2024-08-24T00:00:00"/>
    <n v="3"/>
    <m/>
  </r>
  <r>
    <n v="123"/>
    <s v="A047"/>
    <x v="46"/>
    <s v="A03"/>
    <s v="A047_Arnish Jhamtani_A03"/>
    <x v="0"/>
    <x v="23"/>
    <n v="400"/>
    <n v="400"/>
    <d v="2024-11-20T00:00:00"/>
    <d v="2024-10-26T00:00:00"/>
    <d v="2024-10-26T00:00:00"/>
    <s v="M-F-7-8"/>
    <d v="2025-03-31T00:00:00"/>
    <n v="5.2"/>
    <n v="42"/>
    <d v="2025-03-31T00:00:00"/>
    <d v="2025-03-31T00:00:00"/>
    <n v="1"/>
    <m/>
    <m/>
    <m/>
    <s v="Level Wise"/>
    <n v="3600"/>
    <n v="3600"/>
    <s v="Yes"/>
    <d v="2024-11-20T00:00:00"/>
    <m/>
    <m/>
  </r>
  <r>
    <n v="124"/>
    <s v="A047"/>
    <x v="46"/>
    <s v="A04"/>
    <s v="A047_Arnish Jhamtani_A04"/>
    <x v="3"/>
    <x v="21"/>
    <n v="400"/>
    <n v="400"/>
    <d v="2025-04-09T00:00:00"/>
    <d v="2025-03-31T00:00:00"/>
    <d v="2025-03-31T00:00:00"/>
    <s v="M-W-7-8"/>
    <d v="2025-05-20T00:00:00"/>
    <m/>
    <m/>
    <d v="2025-05-20T00:00:00"/>
    <d v="2025-05-20T00:00:00"/>
    <n v="0.9"/>
    <m/>
    <m/>
    <m/>
    <s v="Level Wise"/>
    <n v="3600"/>
    <n v="3600"/>
    <s v="Yes "/>
    <d v="2025-04-09T00:00:00"/>
    <m/>
    <s v="Gpay "/>
  </r>
  <r>
    <n v="125"/>
    <s v="A047"/>
    <x v="46"/>
    <s v="A04"/>
    <s v="A047_Arnish Jhamtani_A04"/>
    <x v="1"/>
    <x v="24"/>
    <n v="400"/>
    <n v="400"/>
    <d v="2025-06-04T00:00:00"/>
    <d v="2025-06-04T00:00:00"/>
    <d v="2025-06-04T00:00:00"/>
    <s v="M-W-7-8"/>
    <m/>
    <m/>
    <m/>
    <m/>
    <m/>
    <m/>
    <m/>
    <m/>
    <m/>
    <s v="Level Wise"/>
    <n v="3600"/>
    <n v="3600"/>
    <s v="Yes "/>
    <d v="2025-06-11T00:00:00"/>
    <n v="3"/>
    <s v="gpay"/>
  </r>
  <r>
    <n v="126"/>
    <s v="A048"/>
    <x v="47"/>
    <s v="A03"/>
    <s v="A048_Vedant Kumar_A03"/>
    <x v="1"/>
    <x v="25"/>
    <n v="1600"/>
    <n v="1600"/>
    <d v="2024-08-05T00:00:00"/>
    <d v="2024-08-15T00:00:00"/>
    <d v="2024-08-15T00:00:00"/>
    <s v="M-F-7-8"/>
    <m/>
    <n v="14.1"/>
    <n v="113"/>
    <m/>
    <m/>
    <m/>
    <m/>
    <m/>
    <m/>
    <s v="Monthly"/>
    <n v="3600"/>
    <n v="15600"/>
    <s v="Yes"/>
    <d v="2025-09-03T00:00:00"/>
    <n v="13"/>
    <s v="Gpay "/>
  </r>
  <r>
    <n v="127"/>
    <s v="A049"/>
    <x v="48"/>
    <s v="A03"/>
    <s v="A049_Archit Shette_A03"/>
    <x v="2"/>
    <x v="23"/>
    <n v="1600"/>
    <n v="1600"/>
    <d v="2024-08-25T00:00:00"/>
    <d v="2024-08-27T00:00:00"/>
    <d v="2024-08-27T00:00:00"/>
    <s v="T-T-6-7"/>
    <m/>
    <n v="13.7"/>
    <n v="110"/>
    <m/>
    <m/>
    <m/>
    <m/>
    <m/>
    <m/>
    <s v="Monthly"/>
    <n v="3600"/>
    <n v="2400"/>
    <s v="Y"/>
    <d v="2024-10-06T00:00:00"/>
    <n v="2"/>
    <m/>
  </r>
  <r>
    <n v="128"/>
    <s v="A050"/>
    <x v="49"/>
    <s v="A03"/>
    <s v="A050_Arnav Pol_A03"/>
    <x v="0"/>
    <x v="1"/>
    <n v="900"/>
    <n v="900"/>
    <d v="2024-09-11T00:00:00"/>
    <d v="2024-08-31T00:00:00"/>
    <d v="2024-08-31T00:00:00"/>
    <s v="Sun 4-6"/>
    <d v="2025-02-26T00:00:00"/>
    <n v="5.9666666666666668"/>
    <n v="48"/>
    <d v="2025-02-26T00:00:00"/>
    <d v="2025-02-26T00:00:00"/>
    <n v="0.87"/>
    <s v="yes"/>
    <m/>
    <s v="Y"/>
    <s v="Monthly"/>
    <n v="3600"/>
    <n v="7200"/>
    <s v="Yes"/>
    <d v="2025-03-13T00:00:00"/>
    <n v="6"/>
    <s v="gpay"/>
  </r>
  <r>
    <n v="129"/>
    <s v="A050"/>
    <x v="49"/>
    <s v="A04"/>
    <s v="A050_Arnav Pol_A04"/>
    <x v="1"/>
    <x v="26"/>
    <n v="400"/>
    <n v="400"/>
    <d v="2025-03-13T00:00:00"/>
    <d v="2025-03-09T00:00:00"/>
    <d v="2025-03-09T00:00:00"/>
    <s v="Sun 4 -6"/>
    <m/>
    <m/>
    <m/>
    <m/>
    <m/>
    <m/>
    <m/>
    <m/>
    <m/>
    <s v="Monthly "/>
    <n v="3600"/>
    <n v="1200"/>
    <s v="NO"/>
    <d v="2025-03-13T00:00:00"/>
    <n v="1"/>
    <m/>
  </r>
  <r>
    <n v="130"/>
    <s v="A051"/>
    <x v="50"/>
    <s v="A04"/>
    <s v="A051_Mahir Gandhi_A04"/>
    <x v="3"/>
    <x v="10"/>
    <n v="800"/>
    <n v="800"/>
    <d v="2024-09-11T00:00:00"/>
    <d v="2024-09-16T00:00:00"/>
    <d v="2024-09-11T00:00:00"/>
    <s v="M-W-4-5"/>
    <d v="2025-01-15T00:00:00"/>
    <n v="4.2"/>
    <n v="34"/>
    <d v="2025-01-15T00:00:00"/>
    <d v="2025-01-15T00:00:00"/>
    <n v="0.9"/>
    <m/>
    <m/>
    <m/>
    <s v="Monthly"/>
    <n v="3600"/>
    <n v="3600"/>
    <s v="Yes "/>
    <d v="2025-02-03T00:00:00"/>
    <n v="3"/>
    <m/>
  </r>
  <r>
    <n v="131"/>
    <s v="A051"/>
    <x v="50"/>
    <s v="A05"/>
    <s v="A051_Mahir Gandhi_A05"/>
    <x v="1"/>
    <x v="27"/>
    <n v="0"/>
    <n v="0"/>
    <d v="2025-02-03T00:00:00"/>
    <d v="2025-02-03T00:00:00"/>
    <d v="2025-02-03T00:00:00"/>
    <s v="M-W-4-5"/>
    <m/>
    <m/>
    <m/>
    <m/>
    <m/>
    <m/>
    <m/>
    <m/>
    <m/>
    <s v="Monthly "/>
    <n v="3600"/>
    <n v="3600"/>
    <s v="Yes "/>
    <d v="2025-07-12T00:00:00"/>
    <n v="3"/>
    <s v="gpay"/>
  </r>
  <r>
    <n v="132"/>
    <s v="A052"/>
    <x v="51"/>
    <s v="A03"/>
    <s v="A052_Vivaan Garg_A03"/>
    <x v="0"/>
    <x v="23"/>
    <n v="1600"/>
    <n v="1600"/>
    <d v="2024-09-09T00:00:00"/>
    <d v="2024-09-15T00:00:00"/>
    <d v="2024-09-15T00:00:00"/>
    <s v="Sun 4-6"/>
    <d v="2025-07-05T00:00:00"/>
    <n v="9.7666666666666675"/>
    <n v="79"/>
    <m/>
    <m/>
    <m/>
    <m/>
    <m/>
    <m/>
    <s v="Monthly"/>
    <n v="3600"/>
    <n v="8400"/>
    <s v="NO"/>
    <d v="2025-05-10T00:00:00"/>
    <n v="7"/>
    <s v="gpay"/>
  </r>
  <r>
    <n v="133"/>
    <s v="A052"/>
    <x v="51"/>
    <s v="A04"/>
    <s v="A052_Vivaan Garg_A04"/>
    <x v="1"/>
    <x v="21"/>
    <n v="400"/>
    <m/>
    <m/>
    <m/>
    <m/>
    <m/>
    <m/>
    <m/>
    <m/>
    <m/>
    <m/>
    <m/>
    <m/>
    <m/>
    <m/>
    <s v="Monthly"/>
    <m/>
    <m/>
    <m/>
    <m/>
    <m/>
    <m/>
  </r>
  <r>
    <n v="134"/>
    <s v="A053"/>
    <x v="52"/>
    <s v="A03"/>
    <s v="A053_Jaanvi Nitin Khandagale_A03"/>
    <x v="0"/>
    <x v="23"/>
    <n v="1600"/>
    <n v="1600"/>
    <d v="2024-09-22T00:00:00"/>
    <d v="2024-09-22T00:00:00"/>
    <d v="2024-09-22T00:00:00"/>
    <s v="Sun 4-6"/>
    <d v="2025-02-23T00:00:00"/>
    <n v="5.1333333333333337"/>
    <n v="42"/>
    <d v="2025-02-23T00:00:00"/>
    <d v="2025-02-23T00:00:00"/>
    <n v="0.98"/>
    <s v="yes"/>
    <m/>
    <s v="Y"/>
    <s v="Monthly "/>
    <n v="3600"/>
    <n v="7200"/>
    <s v="Yes"/>
    <d v="2025-04-02T00:00:00"/>
    <n v="6"/>
    <s v="phone pay "/>
  </r>
  <r>
    <n v="135"/>
    <s v="A053"/>
    <x v="52"/>
    <s v="A04"/>
    <s v="A053_Jaanvi Nitin Khandagale_A04"/>
    <x v="2"/>
    <x v="21"/>
    <n v="400"/>
    <n v="400"/>
    <d v="2025-04-02T00:00:00"/>
    <d v="2025-04-02T00:00:00"/>
    <d v="2025-04-02T00:00:00"/>
    <s v="Sun 4-6"/>
    <m/>
    <m/>
    <m/>
    <m/>
    <m/>
    <m/>
    <m/>
    <m/>
    <m/>
    <s v="Monthly"/>
    <n v="3600"/>
    <n v="1200"/>
    <s v="NO"/>
    <d v="2025-04-02T00:00:00"/>
    <n v="1"/>
    <s v="phone pay "/>
  </r>
  <r>
    <n v="136"/>
    <s v="A054"/>
    <x v="53"/>
    <s v="A01"/>
    <s v="A054_Rumi Pandita_A01"/>
    <x v="0"/>
    <x v="0"/>
    <n v="1600"/>
    <n v="1600"/>
    <d v="2024-10-11T00:00:00"/>
    <d v="2024-10-12T00:00:00"/>
    <d v="2024-09-27T00:00:00"/>
    <s v="Sun 4-6"/>
    <d v="2025-03-02T00:00:00"/>
    <n v="5.2"/>
    <n v="42"/>
    <d v="2025-03-02T00:00:00"/>
    <d v="2025-03-02T00:00:00"/>
    <n v="1"/>
    <s v="yes"/>
    <n v="4"/>
    <m/>
    <s v="Monthly "/>
    <n v="3600"/>
    <n v="4800"/>
    <s v="NO"/>
    <d v="2025-02-04T00:00:00"/>
    <n v="4"/>
    <s v="gpay"/>
  </r>
  <r>
    <n v="137"/>
    <s v="A054"/>
    <x v="53"/>
    <s v="A02"/>
    <m/>
    <x v="2"/>
    <x v="22"/>
    <n v="400"/>
    <n v="400"/>
    <d v="2025-03-09T00:00:00"/>
    <d v="2025-03-09T00:00:00"/>
    <d v="2025-04-09T00:00:00"/>
    <s v="Sun 4-6"/>
    <m/>
    <m/>
    <m/>
    <m/>
    <m/>
    <m/>
    <m/>
    <m/>
    <m/>
    <s v="Monthly"/>
    <n v="3600"/>
    <n v="1200"/>
    <s v="NO"/>
    <d v="2025-04-13T00:00:00"/>
    <n v="1"/>
    <s v="gpay"/>
  </r>
  <r>
    <n v="138"/>
    <s v="A055"/>
    <x v="54"/>
    <s v="A02"/>
    <s v="A055_Yugansh Pawar_A02"/>
    <x v="0"/>
    <x v="28"/>
    <n v="600"/>
    <n v="600"/>
    <d v="2024-10-02T00:00:00"/>
    <d v="2024-10-09T00:00:00"/>
    <d v="2024-10-02T00:00:00"/>
    <s v="W-F-6-7"/>
    <d v="2025-01-26T00:00:00"/>
    <n v="3.8666666666666667"/>
    <n v="31"/>
    <d v="2025-01-26T00:00:00"/>
    <d v="2025-01-26T00:00:00"/>
    <n v="1"/>
    <s v="yes"/>
    <n v="3"/>
    <d v="2025-01-26T00:00:00"/>
    <s v="Level Wise"/>
    <n v="3000"/>
    <n v="3000"/>
    <s v="Yes"/>
    <d v="2025-01-27T00:00:00"/>
    <n v="4"/>
    <s v="Gpay "/>
  </r>
  <r>
    <n v="139"/>
    <s v="A055"/>
    <x v="54"/>
    <s v="A03"/>
    <m/>
    <x v="1"/>
    <x v="23"/>
    <n v="400"/>
    <n v="400"/>
    <d v="2025-01-27T00:00:00"/>
    <d v="2025-02-05T00:00:00"/>
    <d v="2025-02-05T00:00:00"/>
    <s v="M-W-6-7"/>
    <m/>
    <m/>
    <m/>
    <m/>
    <m/>
    <m/>
    <m/>
    <m/>
    <m/>
    <s v="Level Wise"/>
    <n v="3600"/>
    <m/>
    <m/>
    <m/>
    <m/>
    <m/>
  </r>
  <r>
    <n v="140"/>
    <s v="A056"/>
    <x v="55"/>
    <s v="A02"/>
    <s v="A056_Hridhaan Bagla_A02"/>
    <x v="0"/>
    <x v="22"/>
    <n v="600"/>
    <n v="600"/>
    <d v="2024-10-16T00:00:00"/>
    <d v="2024-10-18T00:00:00"/>
    <d v="2024-10-18T00:00:00"/>
    <s v="W-F-6-7"/>
    <d v="2025-03-05T00:00:00"/>
    <n v="4.5999999999999996"/>
    <n v="37"/>
    <d v="2025-03-05T00:00:00"/>
    <d v="2025-03-05T00:00:00"/>
    <n v="0.86"/>
    <s v="yes"/>
    <n v="4"/>
    <m/>
    <s v="Monthly"/>
    <n v="3600"/>
    <n v="6000"/>
    <s v="Yes"/>
    <d v="2025-02-27T00:00:00"/>
    <n v="5"/>
    <s v="gpay"/>
  </r>
  <r>
    <n v="141"/>
    <s v="A056"/>
    <x v="55"/>
    <s v="A03"/>
    <m/>
    <x v="1"/>
    <x v="23"/>
    <n v="400"/>
    <n v="400"/>
    <d v="2025-03-23T00:00:00"/>
    <d v="2025-03-23T00:00:00"/>
    <d v="2025-03-23T00:00:00"/>
    <s v="M-W-6-7"/>
    <m/>
    <m/>
    <m/>
    <m/>
    <m/>
    <m/>
    <m/>
    <m/>
    <m/>
    <s v="Monthly"/>
    <n v="3600"/>
    <n v="4800"/>
    <s v="NO"/>
    <d v="2025-07-21T00:00:00"/>
    <n v="4"/>
    <s v="Gpay "/>
  </r>
  <r>
    <n v="142"/>
    <s v="A057"/>
    <x v="56"/>
    <s v="A03"/>
    <s v="A057_Tanvi Naik_A03"/>
    <x v="2"/>
    <x v="1"/>
    <n v="1600"/>
    <n v="1600"/>
    <d v="2024-11-10T00:00:00"/>
    <d v="2024-11-12T00:00:00"/>
    <d v="2024-11-12T00:00:00"/>
    <s v="T-T-6-7"/>
    <m/>
    <n v="11.133333333333333"/>
    <n v="90"/>
    <m/>
    <m/>
    <m/>
    <m/>
    <m/>
    <m/>
    <s v="Monthly"/>
    <n v="3600"/>
    <n v="1200"/>
    <s v="Yes"/>
    <d v="2024-11-24T00:00:00"/>
    <n v="1"/>
    <m/>
  </r>
  <r>
    <n v="143"/>
    <s v="A058"/>
    <x v="57"/>
    <s v="A03"/>
    <s v="A058_Advik  Khadelwal_A03"/>
    <x v="0"/>
    <x v="23"/>
    <n v="1600"/>
    <n v="1600"/>
    <d v="2024-11-20T00:00:00"/>
    <d v="2024-11-20T00:00:00"/>
    <d v="2024-11-20T00:00:00"/>
    <s v="M-W-4-5"/>
    <d v="2025-03-05T00:00:00"/>
    <n v="3.5"/>
    <n v="28"/>
    <d v="2025-03-05T00:00:00"/>
    <d v="2025-03-05T00:00:00"/>
    <n v="0.98"/>
    <s v="yes"/>
    <m/>
    <d v="2025-03-31T00:00:00"/>
    <s v="Monthly"/>
    <n v="3600"/>
    <n v="3600"/>
    <s v="Yes"/>
    <d v="2025-03-04T00:00:00"/>
    <n v="3"/>
    <s v="gpay"/>
  </r>
  <r>
    <n v="144"/>
    <s v="A058"/>
    <x v="57"/>
    <s v="A04"/>
    <m/>
    <x v="0"/>
    <x v="21"/>
    <n v="400"/>
    <n v="400"/>
    <d v="2025-03-07T00:00:00"/>
    <d v="2025-03-05T00:00:00"/>
    <d v="2025-03-05T00:00:00"/>
    <s v="M-W-4-5"/>
    <d v="2025-05-06T00:00:00"/>
    <m/>
    <m/>
    <d v="2025-05-06T00:00:00"/>
    <d v="2025-05-06T00:00:00"/>
    <n v="0.94"/>
    <s v="No"/>
    <m/>
    <m/>
    <s v="Monthly"/>
    <n v="3600"/>
    <n v="3600"/>
    <s v="Yes "/>
    <d v="2025-05-22T00:00:00"/>
    <n v="2"/>
    <s v="Gpay "/>
  </r>
  <r>
    <n v="145"/>
    <s v="A058"/>
    <x v="57"/>
    <s v="A05"/>
    <m/>
    <x v="0"/>
    <x v="27"/>
    <n v="400"/>
    <n v="400"/>
    <d v="2025-05-22T00:00:00"/>
    <d v="2025-05-06T00:00:00"/>
    <d v="2025-05-06T00:00:00"/>
    <s v="M-W-7-8"/>
    <d v="2025-07-10T00:00:00"/>
    <m/>
    <m/>
    <d v="2025-07-10T00:00:00"/>
    <d v="2025-07-10T00:00:00"/>
    <m/>
    <s v="No"/>
    <m/>
    <m/>
    <s v="Monthly"/>
    <n v="3600"/>
    <n v="2400"/>
    <s v="NO"/>
    <d v="2025-07-22T00:00:00"/>
    <n v="2"/>
    <s v="Gpay "/>
  </r>
  <r>
    <m/>
    <s v="A058"/>
    <x v="57"/>
    <s v="A05"/>
    <m/>
    <x v="0"/>
    <x v="19"/>
    <n v="400"/>
    <n v="400"/>
    <d v="2025-08-24T00:00:00"/>
    <d v="2025-07-10T00:00:00"/>
    <d v="2025-07-10T00:00:00"/>
    <s v="M-W-4-5"/>
    <m/>
    <m/>
    <m/>
    <m/>
    <m/>
    <m/>
    <m/>
    <m/>
    <m/>
    <s v="Monthly"/>
    <n v="3600"/>
    <n v="1200"/>
    <s v="NO"/>
    <d v="2025-08-24T00:00:00"/>
    <n v="1"/>
    <s v="Gpay "/>
  </r>
  <r>
    <n v="146"/>
    <s v="A059"/>
    <x v="58"/>
    <s v="A02"/>
    <s v="A059_Prisha Deshmukh_A02"/>
    <x v="2"/>
    <x v="28"/>
    <n v="600"/>
    <n v="600"/>
    <d v="2024-11-20T00:00:00"/>
    <d v="2024-11-20T00:00:00"/>
    <d v="2024-11-19T00:00:00"/>
    <s v="Daily-4-5"/>
    <m/>
    <n v="10.9"/>
    <n v="88"/>
    <m/>
    <m/>
    <m/>
    <m/>
    <m/>
    <m/>
    <s v="Monthly"/>
    <n v="2500"/>
    <n v="2500"/>
    <s v="Yes "/>
    <d v="2025-01-14T00:00:00"/>
    <n v="2"/>
    <s v="Phone Pay"/>
  </r>
  <r>
    <n v="147"/>
    <s v="A060"/>
    <x v="59"/>
    <s v="A02"/>
    <s v="A060_Riaan Deshmukh_A02"/>
    <x v="2"/>
    <x v="28"/>
    <n v="600"/>
    <n v="600"/>
    <d v="2024-11-20T00:00:00"/>
    <d v="2024-11-20T00:00:00"/>
    <d v="2024-11-19T00:00:00"/>
    <s v="Daily-4-5"/>
    <m/>
    <n v="10.9"/>
    <n v="88"/>
    <m/>
    <m/>
    <m/>
    <m/>
    <m/>
    <m/>
    <s v="Monthly"/>
    <n v="2500"/>
    <n v="2500"/>
    <s v="Yes"/>
    <d v="2025-01-20T00:00:00"/>
    <n v="2"/>
    <s v="phone pay "/>
  </r>
  <r>
    <n v="148"/>
    <s v="A061"/>
    <x v="60"/>
    <s v="A03"/>
    <s v="A061_Kaira Sharma_A03"/>
    <x v="2"/>
    <x v="1"/>
    <n v="1600"/>
    <n v="1600"/>
    <d v="2024-12-03T00:00:00"/>
    <d v="2024-12-08T00:00:00"/>
    <d v="2024-12-01T00:00:00"/>
    <s v="Sun 4-6"/>
    <m/>
    <n v="10.5"/>
    <n v="84"/>
    <m/>
    <m/>
    <m/>
    <m/>
    <m/>
    <m/>
    <s v="Monthly"/>
    <n v="3600"/>
    <n v="3600"/>
    <s v="Yes"/>
    <d v="2025-04-22T00:00:00"/>
    <n v="3"/>
    <s v="Paytm "/>
  </r>
  <r>
    <n v="149"/>
    <s v="A062"/>
    <x v="61"/>
    <s v="A03"/>
    <s v="A062_Kabeer  Kherajani_A03"/>
    <x v="3"/>
    <x v="1"/>
    <n v="400"/>
    <n v="400"/>
    <d v="2024-12-09T00:00:00"/>
    <d v="2024-12-09T00:00:00"/>
    <d v="2024-12-02T00:00:00"/>
    <s v="M-W-4-5"/>
    <d v="2025-04-28T00:00:00"/>
    <n v="4.9000000000000004"/>
    <n v="40"/>
    <d v="2025-04-28T00:00:00"/>
    <d v="2025-04-28T00:00:00"/>
    <n v="0.98"/>
    <s v="yes"/>
    <n v="5"/>
    <m/>
    <s v="Monthly "/>
    <n v="3600"/>
    <n v="6000"/>
    <s v="Yes"/>
    <d v="2025-04-22T00:00:00"/>
    <n v="5"/>
    <s v="gpay"/>
  </r>
  <r>
    <n v="150"/>
    <s v="A062"/>
    <x v="62"/>
    <s v="A04"/>
    <m/>
    <x v="3"/>
    <x v="26"/>
    <n v="400"/>
    <n v="400"/>
    <d v="2025-04-29T00:00:00"/>
    <d v="2025-04-28T00:00:00"/>
    <d v="2025-04-28T00:00:00"/>
    <s v="M-W-7-8"/>
    <d v="2025-07-21T00:00:00"/>
    <m/>
    <m/>
    <d v="2025-07-21T00:00:00"/>
    <d v="2025-07-21T00:00:00"/>
    <n v="0.98"/>
    <s v="N"/>
    <m/>
    <m/>
    <s v="Monthly "/>
    <n v="3600"/>
    <n v="2400"/>
    <s v="NO"/>
    <d v="2025-07-22T00:00:00"/>
    <n v="2"/>
    <s v="Gpay "/>
  </r>
  <r>
    <n v="151"/>
    <s v="A062"/>
    <x v="62"/>
    <s v="A05"/>
    <m/>
    <x v="1"/>
    <x v="27"/>
    <n v="400"/>
    <n v="400"/>
    <d v="2025-07-23T00:00:00"/>
    <d v="2025-07-21T00:00:00"/>
    <d v="2025-07-21T00:00:00"/>
    <s v="M-W-4-5"/>
    <m/>
    <m/>
    <m/>
    <m/>
    <m/>
    <m/>
    <m/>
    <m/>
    <m/>
    <s v="Monthly"/>
    <n v="3600"/>
    <m/>
    <m/>
    <m/>
    <m/>
    <m/>
  </r>
  <r>
    <n v="152"/>
    <s v="A063"/>
    <x v="63"/>
    <s v="A03"/>
    <s v="A063_Nivaan Keswani_A03"/>
    <x v="2"/>
    <x v="1"/>
    <n v="400"/>
    <n v="400"/>
    <d v="2024-12-09T00:00:00"/>
    <d v="2024-12-09T00:00:00"/>
    <d v="2024-12-04T00:00:00"/>
    <s v="M-W-4-5"/>
    <m/>
    <n v="10.4"/>
    <n v="84"/>
    <m/>
    <m/>
    <m/>
    <m/>
    <m/>
    <m/>
    <s v="Monthly"/>
    <n v="3600"/>
    <n v="1200"/>
    <s v="NO"/>
    <d v="2024-12-09T00:00:00"/>
    <n v="1"/>
    <m/>
  </r>
  <r>
    <n v="153"/>
    <s v="A064"/>
    <x v="64"/>
    <s v="A03"/>
    <s v="A064_Samyak Bora_A03"/>
    <x v="3"/>
    <x v="1"/>
    <n v="600"/>
    <n v="600"/>
    <d v="2024-12-10T00:00:00"/>
    <d v="2024-12-09T00:00:00"/>
    <d v="2024-12-03T00:00:00"/>
    <s v="Daily "/>
    <d v="2025-02-03T00:00:00"/>
    <n v="2.0666666666666669"/>
    <n v="17"/>
    <m/>
    <m/>
    <n v="1"/>
    <s v="yes"/>
    <m/>
    <m/>
    <s v="Level Wise"/>
    <n v="3600"/>
    <n v="3600"/>
    <s v="Yes"/>
    <d v="2025-02-06T00:00:00"/>
    <n v="2"/>
    <s v="Gpay "/>
  </r>
  <r>
    <n v="154"/>
    <s v="A064"/>
    <x v="64"/>
    <s v="A04"/>
    <m/>
    <x v="3"/>
    <x v="21"/>
    <n v="400"/>
    <n v="400"/>
    <d v="2025-02-06T00:00:00"/>
    <d v="2025-02-06T00:00:00"/>
    <d v="2025-02-06T00:00:00"/>
    <s v="Daily"/>
    <s v="26--Mar-25"/>
    <m/>
    <m/>
    <d v="2025-03-26T00:00:00"/>
    <d v="2025-03-26T00:00:00"/>
    <n v="0.92"/>
    <s v="No"/>
    <m/>
    <m/>
    <s v="Levelwise"/>
    <n v="3600"/>
    <n v="3600"/>
    <s v="Yes"/>
    <d v="2025-03-30T00:00:00"/>
    <n v="3"/>
    <s v="Gpay "/>
  </r>
  <r>
    <n v="155"/>
    <s v="A064"/>
    <x v="64"/>
    <s v="A05"/>
    <m/>
    <x v="0"/>
    <x v="11"/>
    <n v="400"/>
    <n v="400"/>
    <d v="2025-03-30T00:00:00"/>
    <d v="2025-03-27T00:00:00"/>
    <d v="2025-03-27T00:00:00"/>
    <s v="Daily "/>
    <d v="2025-05-09T00:00:00"/>
    <m/>
    <m/>
    <d v="2025-05-09T00:00:00"/>
    <d v="2025-05-09T00:00:00"/>
    <n v="0.99"/>
    <s v="No"/>
    <m/>
    <m/>
    <s v="Level Wise"/>
    <n v="3600"/>
    <n v="3600"/>
    <s v="Yes"/>
    <d v="2025-05-12T00:00:00"/>
    <m/>
    <s v="gpay"/>
  </r>
  <r>
    <n v="156"/>
    <s v="A064"/>
    <x v="64"/>
    <s v="A06"/>
    <m/>
    <x v="1"/>
    <x v="13"/>
    <n v="400"/>
    <m/>
    <d v="2025-08-02T00:00:00"/>
    <d v="2025-08-02T00:00:00"/>
    <d v="2025-08-02T00:00:00"/>
    <s v="Daily "/>
    <m/>
    <m/>
    <m/>
    <m/>
    <m/>
    <m/>
    <m/>
    <m/>
    <m/>
    <s v="Level Wise"/>
    <n v="3600"/>
    <m/>
    <m/>
    <m/>
    <m/>
    <m/>
  </r>
  <r>
    <n v="157"/>
    <s v="A065"/>
    <x v="65"/>
    <s v="A03"/>
    <s v="A065_Satvika Yadav_A03"/>
    <x v="2"/>
    <x v="1"/>
    <n v="600"/>
    <n v="600"/>
    <d v="2024-12-11T00:00:00"/>
    <d v="2024-12-12T00:00:00"/>
    <d v="2024-12-01T00:00:00"/>
    <s v="T-T-6-7"/>
    <m/>
    <n v="10.5"/>
    <n v="84"/>
    <m/>
    <m/>
    <m/>
    <m/>
    <m/>
    <m/>
    <s v="Level Wise"/>
    <n v="3600"/>
    <n v="3600"/>
    <s v="Yes"/>
    <d v="2024-12-11T00:00:00"/>
    <m/>
    <m/>
  </r>
  <r>
    <n v="158"/>
    <s v="A066"/>
    <x v="66"/>
    <s v="A02"/>
    <s v="A066_Hitansh Agarwal_A02"/>
    <x v="0"/>
    <x v="22"/>
    <n v="1600"/>
    <n v="1600"/>
    <d v="2025-01-20T00:00:00"/>
    <d v="2025-01-23T00:00:00"/>
    <d v="2025-01-21T00:00:00"/>
    <s v="T-T-6-7"/>
    <d v="2025-05-05T00:00:00"/>
    <m/>
    <m/>
    <d v="2025-05-03T00:00:00"/>
    <d v="2025-05-05T00:00:00"/>
    <n v="0.96"/>
    <s v="yes"/>
    <n v="5"/>
    <m/>
    <s v="Monthly "/>
    <n v="3600"/>
    <n v="3600"/>
    <s v="Yes"/>
    <d v="2025-05-05T00:00:00"/>
    <n v="3"/>
    <s v="Cash"/>
  </r>
  <r>
    <n v="159"/>
    <s v="A066"/>
    <x v="66"/>
    <s v="A03"/>
    <s v="A066_Hitansh Agarwal_A03"/>
    <x v="1"/>
    <x v="23"/>
    <n v="400"/>
    <m/>
    <m/>
    <m/>
    <m/>
    <m/>
    <m/>
    <m/>
    <m/>
    <m/>
    <m/>
    <m/>
    <m/>
    <m/>
    <m/>
    <m/>
    <m/>
    <m/>
    <m/>
    <m/>
    <m/>
    <m/>
  </r>
  <r>
    <n v="160"/>
    <s v="A067"/>
    <x v="67"/>
    <s v="A02"/>
    <s v="A067_Hitanshi Agarwal_A02"/>
    <x v="0"/>
    <x v="22"/>
    <n v="1600"/>
    <n v="1600"/>
    <d v="2025-01-20T00:00:00"/>
    <d v="2025-01-23T00:00:00"/>
    <d v="2025-01-21T00:00:00"/>
    <s v="T-T-6-7"/>
    <d v="2025-05-03T00:00:00"/>
    <m/>
    <m/>
    <d v="2025-05-03T00:00:00"/>
    <d v="2025-05-03T00:00:00"/>
    <n v="1"/>
    <s v="yes"/>
    <n v="5"/>
    <m/>
    <s v="Monthly "/>
    <n v="3600"/>
    <n v="3600"/>
    <s v="Yes"/>
    <d v="2025-05-05T00:00:00"/>
    <n v="3"/>
    <s v="Cash"/>
  </r>
  <r>
    <n v="161"/>
    <s v="A067"/>
    <x v="67"/>
    <s v="A03"/>
    <s v="A067_Hitanshi Agarwal_A03"/>
    <x v="1"/>
    <x v="23"/>
    <n v="400"/>
    <m/>
    <m/>
    <m/>
    <m/>
    <m/>
    <m/>
    <m/>
    <m/>
    <m/>
    <m/>
    <m/>
    <m/>
    <m/>
    <m/>
    <m/>
    <m/>
    <m/>
    <m/>
    <m/>
    <m/>
    <m/>
  </r>
  <r>
    <n v="162"/>
    <s v="A068"/>
    <x v="68"/>
    <s v="A03"/>
    <s v="A068_Manan Garg_A03"/>
    <x v="0"/>
    <x v="23"/>
    <n v="1600"/>
    <n v="1600"/>
    <d v="2025-01-10T00:00:00"/>
    <d v="2025-01-10T00:00:00"/>
    <d v="2025-01-10T00:00:00"/>
    <s v="M-W-7-8"/>
    <d v="2025-04-26T00:00:00"/>
    <m/>
    <m/>
    <d v="2025-04-26T00:00:00"/>
    <d v="2025-04-26T00:00:00"/>
    <n v="0.95"/>
    <s v="yes"/>
    <n v="5"/>
    <m/>
    <s v="Monthly "/>
    <n v="3600"/>
    <n v="4800"/>
    <s v="Yes"/>
    <d v="2025-04-25T00:00:00"/>
    <n v="4"/>
    <s v="gp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93F32C-4AFD-48E6-8DA2-2C7F15054FC2}" name="PivotTable3" cacheId="1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udent">
  <location ref="A3:O44" firstHeaderRow="1" firstDataRow="2" firstDataCol="1"/>
  <pivotFields count="23">
    <pivotField showAll="0"/>
    <pivotField showAll="0"/>
    <pivotField axis="axisRow" showAll="0" sortType="descending">
      <items count="40">
        <item x="0"/>
        <item x="30"/>
        <item x="37"/>
        <item x="16"/>
        <item x="25"/>
        <item x="20"/>
        <item x="3"/>
        <item x="9"/>
        <item x="24"/>
        <item x="22"/>
        <item x="7"/>
        <item x="18"/>
        <item x="14"/>
        <item x="27"/>
        <item x="17"/>
        <item x="5"/>
        <item x="15"/>
        <item x="31"/>
        <item x="2"/>
        <item x="21"/>
        <item x="38"/>
        <item x="13"/>
        <item x="26"/>
        <item x="19"/>
        <item x="8"/>
        <item x="6"/>
        <item x="12"/>
        <item x="23"/>
        <item x="10"/>
        <item x="33"/>
        <item x="32"/>
        <item x="36"/>
        <item x="34"/>
        <item x="11"/>
        <item x="29"/>
        <item x="1"/>
        <item x="28"/>
        <item x="3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axis="axisCol" showAll="0">
      <items count="14">
        <item x="0"/>
        <item x="11"/>
        <item x="1"/>
        <item x="9"/>
        <item x="10"/>
        <item x="12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0">
    <i>
      <x v="18"/>
    </i>
    <i>
      <x v="3"/>
    </i>
    <i>
      <x v="28"/>
    </i>
    <i>
      <x v="12"/>
    </i>
    <i>
      <x v="6"/>
    </i>
    <i>
      <x v="22"/>
    </i>
    <i>
      <x v="25"/>
    </i>
    <i>
      <x v="10"/>
    </i>
    <i>
      <x v="7"/>
    </i>
    <i>
      <x v="15"/>
    </i>
    <i>
      <x v="30"/>
    </i>
    <i>
      <x v="36"/>
    </i>
    <i>
      <x v="34"/>
    </i>
    <i>
      <x v="38"/>
    </i>
    <i>
      <x v="13"/>
    </i>
    <i>
      <x v="4"/>
    </i>
    <i>
      <x v="33"/>
    </i>
    <i>
      <x v="24"/>
    </i>
    <i>
      <x v="35"/>
    </i>
    <i>
      <x v="5"/>
    </i>
    <i>
      <x v="27"/>
    </i>
    <i>
      <x/>
    </i>
    <i>
      <x v="37"/>
    </i>
    <i>
      <x v="11"/>
    </i>
    <i>
      <x v="31"/>
    </i>
    <i>
      <x v="23"/>
    </i>
    <i>
      <x v="20"/>
    </i>
    <i>
      <x v="9"/>
    </i>
    <i>
      <x v="17"/>
    </i>
    <i>
      <x v="14"/>
    </i>
    <i>
      <x v="32"/>
    </i>
    <i>
      <x v="26"/>
    </i>
    <i>
      <x v="1"/>
    </i>
    <i>
      <x v="2"/>
    </i>
    <i>
      <x v="21"/>
    </i>
    <i>
      <x v="16"/>
    </i>
    <i>
      <x v="8"/>
    </i>
    <i>
      <x v="29"/>
    </i>
    <i>
      <x v="19"/>
    </i>
    <i t="grand">
      <x/>
    </i>
  </rowItems>
  <colFields count="1">
    <field x="5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Count of Level Progress" fld="4" subtotal="count" baseField="0" baseItem="0"/>
  </dataFields>
  <formats count="2">
    <format dxfId="6">
      <pivotArea type="all" dataOnly="0" outline="0" fieldPosition="0"/>
    </format>
    <format dxfId="7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B6259E-99FE-4917-BF26-03ED419D3BFD}" name="PivotTable1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C83" firstHeaderRow="0" firstDataRow="1" firstDataCol="1" rowPageCount="1" colPageCount="1"/>
  <pivotFields count="29">
    <pivotField compact="0" outline="0" showAll="0"/>
    <pivotField compact="0" outline="0" showAll="0"/>
    <pivotField axis="axisRow" dataField="1" compact="0" outline="0" showAll="0">
      <items count="125">
        <item x="0"/>
        <item x="30"/>
        <item x="37"/>
        <item x="80"/>
        <item x="16"/>
        <item x="25"/>
        <item x="20"/>
        <item x="57"/>
        <item x="48"/>
        <item x="49"/>
        <item x="39"/>
        <item x="46"/>
        <item x="3"/>
        <item x="9"/>
        <item x="40"/>
        <item x="76"/>
        <item x="24"/>
        <item x="22"/>
        <item x="7"/>
        <item x="42"/>
        <item x="72"/>
        <item x="66"/>
        <item x="67"/>
        <item x="55"/>
        <item x="18"/>
        <item x="14"/>
        <item x="41"/>
        <item x="52"/>
        <item x="27"/>
        <item m="1" x="122"/>
        <item x="60"/>
        <item x="17"/>
        <item x="5"/>
        <item x="50"/>
        <item x="68"/>
        <item x="71"/>
        <item x="77"/>
        <item x="44"/>
        <item x="15"/>
        <item x="63"/>
        <item x="31"/>
        <item x="43"/>
        <item x="2"/>
        <item x="21"/>
        <item x="58"/>
        <item x="38"/>
        <item x="59"/>
        <item x="13"/>
        <item x="26"/>
        <item x="19"/>
        <item x="53"/>
        <item x="8"/>
        <item x="64"/>
        <item x="65"/>
        <item x="6"/>
        <item x="70"/>
        <item x="12"/>
        <item x="23"/>
        <item x="10"/>
        <item x="33"/>
        <item x="45"/>
        <item x="32"/>
        <item x="36"/>
        <item x="34"/>
        <item x="11"/>
        <item x="29"/>
        <item x="78"/>
        <item x="79"/>
        <item x="1"/>
        <item x="56"/>
        <item x="47"/>
        <item m="1" x="123"/>
        <item x="28"/>
        <item x="69"/>
        <item x="73"/>
        <item x="51"/>
        <item x="35"/>
        <item x="4"/>
        <item x="54"/>
        <item x="75"/>
        <item x="119"/>
        <item x="61"/>
        <item x="62"/>
        <item x="74"/>
        <item x="81"/>
        <item x="82"/>
        <item x="83"/>
        <item x="84"/>
        <item x="85"/>
        <item x="86"/>
        <item m="1" x="120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m="1" x="121"/>
        <item x="87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compact="0" outline="0" showAll="0"/>
    <pivotField compact="0" outline="0" showAll="0"/>
    <pivotField axis="axisPage" compact="0" outline="0" showAll="0">
      <items count="6">
        <item h="1" x="0"/>
        <item h="1" x="3"/>
        <item x="1"/>
        <item h="1" x="2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78">
    <i>
      <x v="2"/>
    </i>
    <i>
      <x v="3"/>
    </i>
    <i>
      <x v="5"/>
    </i>
    <i>
      <x v="6"/>
    </i>
    <i>
      <x v="9"/>
    </i>
    <i>
      <x v="11"/>
    </i>
    <i>
      <x v="13"/>
    </i>
    <i>
      <x v="15"/>
    </i>
    <i>
      <x v="16"/>
    </i>
    <i>
      <x v="20"/>
    </i>
    <i>
      <x v="21"/>
    </i>
    <i>
      <x v="22"/>
    </i>
    <i>
      <x v="23"/>
    </i>
    <i>
      <x v="28"/>
    </i>
    <i>
      <x v="33"/>
    </i>
    <i>
      <x v="35"/>
    </i>
    <i>
      <x v="36"/>
    </i>
    <i>
      <x v="37"/>
    </i>
    <i>
      <x v="41"/>
    </i>
    <i>
      <x v="42"/>
    </i>
    <i>
      <x v="48"/>
    </i>
    <i>
      <x v="52"/>
    </i>
    <i>
      <x v="55"/>
    </i>
    <i>
      <x v="57"/>
    </i>
    <i>
      <x v="58"/>
    </i>
    <i>
      <x v="59"/>
    </i>
    <i>
      <x v="60"/>
    </i>
    <i>
      <x v="62"/>
    </i>
    <i>
      <x v="66"/>
    </i>
    <i>
      <x v="67"/>
    </i>
    <i>
      <x v="70"/>
    </i>
    <i>
      <x v="72"/>
    </i>
    <i>
      <x v="73"/>
    </i>
    <i>
      <x v="74"/>
    </i>
    <i>
      <x v="75"/>
    </i>
    <i>
      <x v="78"/>
    </i>
    <i>
      <x v="79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2" hier="-1"/>
  </pageFields>
  <dataFields count="2">
    <dataField name="Count of Student Name" fld="2" subtotal="count" baseField="0" baseItem="0"/>
    <dataField name="Sum of Received Fee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440C5-BC4E-42E3-B147-C6CD063C1347}" name="PivotTable1" cacheId="1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238" firstHeaderRow="1" firstDataRow="2" firstDataCol="2"/>
  <pivotFields count="29">
    <pivotField compact="0" outline="0" showAll="0"/>
    <pivotField compact="0" outline="0" showAll="0"/>
    <pivotField axis="axisRow" compact="0" outline="0" showAll="0" sortType="descending">
      <items count="72">
        <item x="0"/>
        <item x="30"/>
        <item x="37"/>
        <item x="16"/>
        <item x="25"/>
        <item x="20"/>
        <item x="57"/>
        <item x="48"/>
        <item x="49"/>
        <item x="39"/>
        <item x="46"/>
        <item x="3"/>
        <item x="9"/>
        <item x="40"/>
        <item x="24"/>
        <item x="22"/>
        <item x="7"/>
        <item x="42"/>
        <item x="55"/>
        <item x="18"/>
        <item x="14"/>
        <item x="41"/>
        <item x="52"/>
        <item x="27"/>
        <item x="17"/>
        <item x="5"/>
        <item x="50"/>
        <item x="44"/>
        <item x="15"/>
        <item x="31"/>
        <item x="43"/>
        <item x="2"/>
        <item x="21"/>
        <item x="58"/>
        <item x="38"/>
        <item x="59"/>
        <item x="13"/>
        <item x="26"/>
        <item x="19"/>
        <item x="53"/>
        <item x="8"/>
        <item x="6"/>
        <item x="12"/>
        <item x="23"/>
        <item x="10"/>
        <item x="33"/>
        <item x="45"/>
        <item x="32"/>
        <item x="36"/>
        <item x="34"/>
        <item x="11"/>
        <item x="29"/>
        <item x="1"/>
        <item x="56"/>
        <item x="47"/>
        <item x="28"/>
        <item x="51"/>
        <item x="35"/>
        <item x="4"/>
        <item x="54"/>
        <item m="1" x="70"/>
        <item x="60"/>
        <item m="1" x="69"/>
        <item x="63"/>
        <item x="64"/>
        <item x="65"/>
        <item x="66"/>
        <item x="67"/>
        <item x="68"/>
        <item x="61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axis="axisCol" compact="0" outline="0" showAll="0">
      <items count="6">
        <item x="0"/>
        <item x="3"/>
        <item x="1"/>
        <item x="2"/>
        <item h="1" m="1" x="4"/>
        <item t="default"/>
      </items>
    </pivotField>
    <pivotField axis="axisRow" compact="0" outline="0" showAll="0">
      <items count="31">
        <item x="6"/>
        <item x="0"/>
        <item x="23"/>
        <item x="21"/>
        <item x="15"/>
        <item x="19"/>
        <item x="14"/>
        <item x="1"/>
        <item x="10"/>
        <item x="11"/>
        <item x="13"/>
        <item x="2"/>
        <item x="3"/>
        <item x="4"/>
        <item x="5"/>
        <item x="22"/>
        <item x="12"/>
        <item x="28"/>
        <item x="8"/>
        <item x="9"/>
        <item m="1" x="29"/>
        <item x="7"/>
        <item x="16"/>
        <item x="17"/>
        <item x="26"/>
        <item x="27"/>
        <item x="18"/>
        <item x="20"/>
        <item x="24"/>
        <item x="2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2"/>
    <field x="6"/>
  </rowFields>
  <rowItems count="234">
    <i>
      <x v="44"/>
      <x v="6"/>
    </i>
    <i r="1">
      <x v="7"/>
    </i>
    <i r="1">
      <x v="8"/>
    </i>
    <i r="1">
      <x v="9"/>
    </i>
    <i r="1">
      <x v="10"/>
    </i>
    <i t="default">
      <x v="44"/>
    </i>
    <i>
      <x v="43"/>
      <x v="7"/>
    </i>
    <i r="1">
      <x v="8"/>
    </i>
    <i r="1">
      <x v="9"/>
    </i>
    <i r="1">
      <x v="16"/>
    </i>
    <i t="default">
      <x v="43"/>
    </i>
    <i>
      <x v="37"/>
      <x v="6"/>
    </i>
    <i r="1">
      <x v="7"/>
    </i>
    <i r="1">
      <x v="8"/>
    </i>
    <i r="1">
      <x v="9"/>
    </i>
    <i r="1">
      <x v="10"/>
    </i>
    <i r="1">
      <x v="23"/>
    </i>
    <i r="1">
      <x v="26"/>
    </i>
    <i t="default">
      <x v="37"/>
    </i>
    <i>
      <x v="31"/>
      <x/>
    </i>
    <i r="1">
      <x v="11"/>
    </i>
    <i r="1">
      <x v="12"/>
    </i>
    <i r="1">
      <x v="13"/>
    </i>
    <i r="1">
      <x v="14"/>
    </i>
    <i r="1">
      <x v="21"/>
    </i>
    <i t="default">
      <x v="31"/>
    </i>
    <i>
      <x v="14"/>
      <x v="7"/>
    </i>
    <i r="1">
      <x v="8"/>
    </i>
    <i r="1">
      <x v="9"/>
    </i>
    <i t="default">
      <x v="14"/>
    </i>
    <i>
      <x v="47"/>
      <x v="11"/>
    </i>
    <i r="1">
      <x v="12"/>
    </i>
    <i r="1">
      <x v="13"/>
    </i>
    <i r="1">
      <x v="14"/>
    </i>
    <i r="1">
      <x v="23"/>
    </i>
    <i t="default">
      <x v="47"/>
    </i>
    <i>
      <x v="3"/>
      <x v="7"/>
    </i>
    <i r="1">
      <x v="8"/>
    </i>
    <i r="1">
      <x v="9"/>
    </i>
    <i r="1">
      <x v="10"/>
    </i>
    <i t="default">
      <x v="3"/>
    </i>
    <i>
      <x v="54"/>
      <x v="29"/>
    </i>
    <i t="default">
      <x v="54"/>
    </i>
    <i>
      <x v="23"/>
      <x v="5"/>
    </i>
    <i r="1">
      <x v="6"/>
    </i>
    <i r="1">
      <x v="7"/>
    </i>
    <i r="1">
      <x v="8"/>
    </i>
    <i r="1">
      <x v="9"/>
    </i>
    <i t="default">
      <x v="23"/>
    </i>
    <i>
      <x v="51"/>
      <x v="5"/>
    </i>
    <i r="1">
      <x v="7"/>
    </i>
    <i r="1">
      <x v="8"/>
    </i>
    <i r="1">
      <x v="9"/>
    </i>
    <i r="1">
      <x v="27"/>
    </i>
    <i t="default">
      <x v="51"/>
    </i>
    <i>
      <x v="12"/>
      <x v="7"/>
    </i>
    <i r="1">
      <x v="8"/>
    </i>
    <i r="1">
      <x v="9"/>
    </i>
    <i r="1">
      <x v="10"/>
    </i>
    <i r="1">
      <x v="16"/>
    </i>
    <i t="default">
      <x v="12"/>
    </i>
    <i>
      <x v="10"/>
      <x v="2"/>
    </i>
    <i r="1">
      <x v="3"/>
    </i>
    <i r="1">
      <x v="15"/>
    </i>
    <i r="1">
      <x v="28"/>
    </i>
    <i t="default">
      <x v="10"/>
    </i>
    <i>
      <x v="4"/>
      <x v="4"/>
    </i>
    <i r="1">
      <x v="7"/>
    </i>
    <i r="1">
      <x v="8"/>
    </i>
    <i r="1">
      <x v="9"/>
    </i>
    <i r="1">
      <x v="22"/>
    </i>
    <i t="default">
      <x v="4"/>
    </i>
    <i>
      <x v="17"/>
      <x v="7"/>
    </i>
    <i r="1">
      <x v="15"/>
    </i>
    <i t="default">
      <x v="17"/>
    </i>
    <i>
      <x v="21"/>
      <x v="2"/>
    </i>
    <i r="1">
      <x v="15"/>
    </i>
    <i t="default">
      <x v="21"/>
    </i>
    <i>
      <x v="55"/>
      <x v="4"/>
    </i>
    <i r="1">
      <x v="7"/>
    </i>
    <i r="1">
      <x v="8"/>
    </i>
    <i r="1">
      <x v="9"/>
    </i>
    <i t="default">
      <x v="55"/>
    </i>
    <i>
      <x v="6"/>
      <x v="2"/>
    </i>
    <i r="1">
      <x v="3"/>
    </i>
    <i r="1">
      <x v="5"/>
    </i>
    <i r="1">
      <x v="25"/>
    </i>
    <i t="default">
      <x v="6"/>
    </i>
    <i>
      <x v="46"/>
      <x v="2"/>
    </i>
    <i r="1">
      <x v="8"/>
    </i>
    <i t="default">
      <x v="46"/>
    </i>
    <i>
      <x v="11"/>
      <x v="11"/>
    </i>
    <i r="1">
      <x v="12"/>
    </i>
    <i r="1">
      <x v="13"/>
    </i>
    <i t="default">
      <x v="11"/>
    </i>
    <i>
      <x v="64"/>
      <x v="3"/>
    </i>
    <i r="1">
      <x v="7"/>
    </i>
    <i r="1">
      <x v="9"/>
    </i>
    <i r="1">
      <x v="10"/>
    </i>
    <i t="default">
      <x v="64"/>
    </i>
    <i>
      <x v="25"/>
      <x v="7"/>
    </i>
    <i r="1">
      <x v="8"/>
    </i>
    <i r="1">
      <x v="9"/>
    </i>
    <i t="default">
      <x v="25"/>
    </i>
    <i>
      <x v="45"/>
      <x v="7"/>
    </i>
    <i r="1">
      <x v="8"/>
    </i>
    <i r="1">
      <x v="9"/>
    </i>
    <i r="1">
      <x v="10"/>
    </i>
    <i t="default">
      <x v="45"/>
    </i>
    <i>
      <x v="41"/>
      <x v="7"/>
    </i>
    <i r="1">
      <x v="8"/>
    </i>
    <i r="1">
      <x v="9"/>
    </i>
    <i t="default">
      <x v="41"/>
    </i>
    <i>
      <x v="18"/>
      <x v="2"/>
    </i>
    <i r="1">
      <x v="15"/>
    </i>
    <i t="default">
      <x v="18"/>
    </i>
    <i>
      <x v="16"/>
      <x v="1"/>
    </i>
    <i r="1">
      <x v="7"/>
    </i>
    <i r="1">
      <x v="16"/>
    </i>
    <i t="default">
      <x v="16"/>
    </i>
    <i>
      <x v="2"/>
      <x v="11"/>
    </i>
    <i r="1">
      <x v="12"/>
    </i>
    <i r="1">
      <x v="13"/>
    </i>
    <i t="default">
      <x v="2"/>
    </i>
    <i>
      <x v="5"/>
      <x v="7"/>
    </i>
    <i r="1">
      <x v="8"/>
    </i>
    <i t="default">
      <x v="5"/>
    </i>
    <i>
      <x v="13"/>
      <x v="2"/>
    </i>
    <i r="1">
      <x v="15"/>
    </i>
    <i t="default">
      <x v="13"/>
    </i>
    <i>
      <x v="8"/>
      <x v="7"/>
    </i>
    <i r="1">
      <x v="24"/>
    </i>
    <i t="default">
      <x v="8"/>
    </i>
    <i>
      <x v="56"/>
      <x v="2"/>
    </i>
    <i r="1">
      <x v="3"/>
    </i>
    <i t="default">
      <x v="56"/>
    </i>
    <i>
      <x v="27"/>
      <x v="7"/>
    </i>
    <i r="1">
      <x v="15"/>
    </i>
    <i t="default">
      <x v="27"/>
    </i>
    <i>
      <x v="9"/>
      <x v="7"/>
    </i>
    <i r="1">
      <x v="8"/>
    </i>
    <i t="default">
      <x v="9"/>
    </i>
    <i>
      <x v="22"/>
      <x v="2"/>
    </i>
    <i r="1">
      <x v="3"/>
    </i>
    <i t="default">
      <x v="22"/>
    </i>
    <i>
      <x v="50"/>
      <x v="7"/>
    </i>
    <i r="1">
      <x v="16"/>
    </i>
    <i t="default">
      <x v="50"/>
    </i>
    <i>
      <x v="26"/>
      <x v="8"/>
    </i>
    <i r="1">
      <x v="25"/>
    </i>
    <i t="default">
      <x v="26"/>
    </i>
    <i>
      <x v="58"/>
      <x v="18"/>
    </i>
    <i r="1">
      <x v="19"/>
    </i>
    <i t="default">
      <x v="58"/>
    </i>
    <i>
      <x v="20"/>
      <x v="7"/>
    </i>
    <i r="1">
      <x v="8"/>
    </i>
    <i r="1">
      <x v="9"/>
    </i>
    <i t="default">
      <x v="20"/>
    </i>
    <i>
      <x v="40"/>
      <x v="7"/>
    </i>
    <i r="1">
      <x v="8"/>
    </i>
    <i t="default">
      <x v="40"/>
    </i>
    <i>
      <x v="30"/>
      <x v="1"/>
    </i>
    <i r="1">
      <x v="15"/>
    </i>
    <i t="default">
      <x v="30"/>
    </i>
    <i>
      <x v="52"/>
      <x v="1"/>
    </i>
    <i r="1">
      <x v="7"/>
    </i>
    <i t="default">
      <x v="52"/>
    </i>
    <i>
      <x v="19"/>
      <x v="11"/>
    </i>
    <i t="default">
      <x v="19"/>
    </i>
    <i>
      <x v="69"/>
      <x v="7"/>
    </i>
    <i t="default">
      <x v="69"/>
    </i>
    <i>
      <x v="39"/>
      <x v="1"/>
    </i>
    <i r="1">
      <x v="15"/>
    </i>
    <i t="default">
      <x v="39"/>
    </i>
    <i>
      <x v="48"/>
      <x v="3"/>
    </i>
    <i r="1">
      <x v="7"/>
    </i>
    <i t="default">
      <x v="48"/>
    </i>
    <i>
      <x v="42"/>
      <x v="18"/>
    </i>
    <i t="default">
      <x v="42"/>
    </i>
    <i>
      <x v="15"/>
      <x v="7"/>
    </i>
    <i t="default">
      <x v="15"/>
    </i>
    <i>
      <x v="38"/>
      <x v="11"/>
    </i>
    <i t="default">
      <x v="38"/>
    </i>
    <i>
      <x v="68"/>
      <x v="2"/>
    </i>
    <i t="default">
      <x v="68"/>
    </i>
    <i>
      <x v="66"/>
      <x v="2"/>
    </i>
    <i r="1">
      <x v="15"/>
    </i>
    <i t="default">
      <x v="66"/>
    </i>
    <i>
      <x v="29"/>
      <x v="1"/>
    </i>
    <i r="1">
      <x v="16"/>
    </i>
    <i t="default">
      <x v="29"/>
    </i>
    <i>
      <x v="61"/>
      <x v="7"/>
    </i>
    <i t="default">
      <x v="61"/>
    </i>
    <i>
      <x v="67"/>
      <x v="2"/>
    </i>
    <i r="1">
      <x v="15"/>
    </i>
    <i t="default">
      <x v="67"/>
    </i>
    <i>
      <x v="65"/>
      <x v="7"/>
    </i>
    <i t="default">
      <x v="65"/>
    </i>
    <i>
      <x v="24"/>
      <x v="7"/>
    </i>
    <i t="default">
      <x v="24"/>
    </i>
    <i>
      <x v="36"/>
      <x v="1"/>
    </i>
    <i t="default">
      <x v="36"/>
    </i>
    <i>
      <x v="1"/>
      <x v="11"/>
    </i>
    <i t="default">
      <x v="1"/>
    </i>
    <i>
      <x v="28"/>
      <x v="7"/>
    </i>
    <i t="default">
      <x v="28"/>
    </i>
    <i>
      <x v="57"/>
      <x v="16"/>
    </i>
    <i t="default">
      <x v="57"/>
    </i>
    <i>
      <x v="59"/>
      <x v="2"/>
    </i>
    <i r="1">
      <x v="17"/>
    </i>
    <i t="default">
      <x v="59"/>
    </i>
    <i>
      <x v="32"/>
      <x v="16"/>
    </i>
    <i t="default">
      <x v="32"/>
    </i>
    <i>
      <x v="34"/>
      <x v="16"/>
    </i>
    <i t="default">
      <x v="34"/>
    </i>
    <i>
      <x v="35"/>
      <x v="17"/>
    </i>
    <i t="default">
      <x v="35"/>
    </i>
    <i>
      <x v="33"/>
      <x v="17"/>
    </i>
    <i t="default">
      <x v="33"/>
    </i>
    <i>
      <x v="7"/>
      <x v="2"/>
    </i>
    <i t="default">
      <x v="7"/>
    </i>
    <i>
      <x v="70"/>
      <x v="24"/>
    </i>
    <i r="1">
      <x v="25"/>
    </i>
    <i t="default">
      <x v="70"/>
    </i>
    <i>
      <x v="49"/>
      <x v="11"/>
    </i>
    <i t="default">
      <x v="49"/>
    </i>
    <i>
      <x v="53"/>
      <x v="7"/>
    </i>
    <i t="default">
      <x v="53"/>
    </i>
    <i>
      <x v="63"/>
      <x v="7"/>
    </i>
    <i t="default">
      <x v="63"/>
    </i>
    <i>
      <x/>
      <x v="1"/>
    </i>
    <i r="1">
      <x v="7"/>
    </i>
    <i t="default">
      <x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 of Received Fee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436D9-5F65-4C92-812A-28509900B43A}" name="PivotTable2" cacheId="1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3:M15" firstHeaderRow="1" firstDataRow="2" firstDataCol="1" rowPageCount="1" colPageCount="1"/>
  <pivotFields count="26">
    <pivotField compact="0" outline="0" showAll="0"/>
    <pivotField dataField="1" compact="0" outline="0" showAll="0"/>
    <pivotField axis="axisRow" compact="0" outline="0" showAll="0">
      <items count="17">
        <item x="0"/>
        <item x="12"/>
        <item x="1"/>
        <item x="10"/>
        <item x="11"/>
        <item x="13"/>
        <item x="14"/>
        <item x="2"/>
        <item x="3"/>
        <item x="4"/>
        <item x="5"/>
        <item x="6"/>
        <item x="8"/>
        <item x="9"/>
        <item x="15"/>
        <item x="7"/>
        <item t="default"/>
      </items>
    </pivotField>
    <pivotField compact="0" outline="0" showAll="0"/>
    <pivotField axis="axisPage" compact="0" outline="0" showAll="0">
      <items count="6">
        <item h="1" x="0"/>
        <item h="1" x="3"/>
        <item x="1"/>
        <item h="1" x="2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21">
        <item m="1" x="18"/>
        <item x="6"/>
        <item x="11"/>
        <item m="1" x="19"/>
        <item x="4"/>
        <item x="8"/>
        <item x="1"/>
        <item x="9"/>
        <item x="0"/>
        <item x="12"/>
        <item x="3"/>
        <item m="1" x="15"/>
        <item m="1" x="16"/>
        <item x="2"/>
        <item x="13"/>
        <item x="5"/>
        <item m="1" x="17"/>
        <item x="7"/>
        <item x="10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10"/>
    </i>
    <i>
      <x v="15"/>
    </i>
    <i t="grand">
      <x/>
    </i>
  </rowItems>
  <colFields count="1">
    <field x="11"/>
  </colFields>
  <colItems count="11">
    <i>
      <x v="2"/>
    </i>
    <i>
      <x v="5"/>
    </i>
    <i>
      <x v="6"/>
    </i>
    <i>
      <x v="9"/>
    </i>
    <i>
      <x v="13"/>
    </i>
    <i>
      <x v="14"/>
    </i>
    <i>
      <x v="15"/>
    </i>
    <i>
      <x v="17"/>
    </i>
    <i>
      <x v="18"/>
    </i>
    <i>
      <x v="19"/>
    </i>
    <i t="grand">
      <x/>
    </i>
  </colItems>
  <pageFields count="1">
    <pageField fld="4" item="2" hier="-1"/>
  </pageFields>
  <dataFields count="1">
    <dataField name="Count of Student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D1DCF-561E-4C0D-AE9B-A185755C6544}" name="PivotTable2" cacheId="1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3:N56" firstHeaderRow="1" firstDataRow="2" firstDataCol="2" rowPageCount="1" colPageCount="1"/>
  <pivotFields count="26">
    <pivotField compact="0" outline="0" showAll="0"/>
    <pivotField axis="axisRow" dataField="1" compact="0" outline="0" showAll="0">
      <items count="67">
        <item x="0"/>
        <item x="30"/>
        <item x="37"/>
        <item x="16"/>
        <item x="25"/>
        <item x="20"/>
        <item x="57"/>
        <item x="48"/>
        <item x="49"/>
        <item x="39"/>
        <item x="46"/>
        <item x="3"/>
        <item x="9"/>
        <item x="40"/>
        <item x="24"/>
        <item x="22"/>
        <item x="7"/>
        <item x="42"/>
        <item x="55"/>
        <item x="18"/>
        <item x="14"/>
        <item x="41"/>
        <item x="52"/>
        <item x="27"/>
        <item x="17"/>
        <item x="5"/>
        <item x="50"/>
        <item x="44"/>
        <item x="15"/>
        <item x="31"/>
        <item x="43"/>
        <item x="2"/>
        <item x="21"/>
        <item x="58"/>
        <item x="38"/>
        <item x="59"/>
        <item x="13"/>
        <item x="26"/>
        <item x="19"/>
        <item x="53"/>
        <item x="8"/>
        <item x="6"/>
        <item x="12"/>
        <item x="23"/>
        <item x="10"/>
        <item x="33"/>
        <item x="45"/>
        <item x="32"/>
        <item x="36"/>
        <item x="34"/>
        <item x="11"/>
        <item x="29"/>
        <item x="1"/>
        <item x="56"/>
        <item x="47"/>
        <item x="28"/>
        <item x="51"/>
        <item x="35"/>
        <item x="4"/>
        <item x="54"/>
        <item x="65"/>
        <item x="60"/>
        <item x="61"/>
        <item x="62"/>
        <item x="63"/>
        <item x="64"/>
        <item t="default"/>
      </items>
    </pivotField>
    <pivotField axis="axisCol" compact="0" outline="0" showAll="0">
      <items count="17">
        <item x="0"/>
        <item x="12"/>
        <item x="1"/>
        <item x="10"/>
        <item x="11"/>
        <item x="13"/>
        <item x="14"/>
        <item x="2"/>
        <item x="3"/>
        <item x="4"/>
        <item x="5"/>
        <item x="6"/>
        <item x="8"/>
        <item x="9"/>
        <item x="15"/>
        <item x="7"/>
        <item t="default"/>
      </items>
    </pivotField>
    <pivotField compact="0" outline="0" showAll="0"/>
    <pivotField axis="axisPage" compact="0" outline="0" showAll="0">
      <items count="6">
        <item h="1" x="0"/>
        <item h="1" x="3"/>
        <item x="1"/>
        <item h="1" x="2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1">
        <item m="1" x="18"/>
        <item x="6"/>
        <item x="11"/>
        <item m="1" x="19"/>
        <item x="4"/>
        <item x="1"/>
        <item x="8"/>
        <item x="9"/>
        <item x="0"/>
        <item x="12"/>
        <item x="3"/>
        <item m="1" x="15"/>
        <item x="5"/>
        <item m="1" x="16"/>
        <item x="2"/>
        <item m="1" x="17"/>
        <item x="13"/>
        <item x="7"/>
        <item x="10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1"/>
    <field x="1"/>
  </rowFields>
  <rowItems count="52">
    <i>
      <x v="2"/>
      <x v="33"/>
    </i>
    <i r="1">
      <x v="35"/>
    </i>
    <i t="default">
      <x v="2"/>
    </i>
    <i>
      <x v="5"/>
      <x v="9"/>
    </i>
    <i r="1">
      <x v="10"/>
    </i>
    <i r="1">
      <x v="31"/>
    </i>
    <i r="1">
      <x v="47"/>
    </i>
    <i r="1">
      <x v="54"/>
    </i>
    <i t="default">
      <x v="5"/>
    </i>
    <i>
      <x v="6"/>
      <x v="2"/>
    </i>
    <i r="1">
      <x v="4"/>
    </i>
    <i r="1">
      <x v="6"/>
    </i>
    <i r="1">
      <x v="23"/>
    </i>
    <i r="1">
      <x v="26"/>
    </i>
    <i r="1">
      <x v="55"/>
    </i>
    <i r="1">
      <x v="62"/>
    </i>
    <i r="1">
      <x v="63"/>
    </i>
    <i t="default">
      <x v="6"/>
    </i>
    <i>
      <x v="9"/>
      <x v="37"/>
    </i>
    <i r="1">
      <x v="45"/>
    </i>
    <i t="default">
      <x v="9"/>
    </i>
    <i>
      <x v="12"/>
      <x v="12"/>
    </i>
    <i r="1">
      <x v="46"/>
    </i>
    <i r="1">
      <x v="48"/>
    </i>
    <i t="default">
      <x v="12"/>
    </i>
    <i>
      <x v="14"/>
      <x v="3"/>
    </i>
    <i r="1">
      <x v="7"/>
    </i>
    <i r="1">
      <x v="27"/>
    </i>
    <i r="1">
      <x v="30"/>
    </i>
    <i r="1">
      <x v="53"/>
    </i>
    <i r="1">
      <x v="65"/>
    </i>
    <i t="default">
      <x v="14"/>
    </i>
    <i>
      <x v="16"/>
      <x v="17"/>
    </i>
    <i r="1">
      <x v="18"/>
    </i>
    <i r="1">
      <x v="21"/>
    </i>
    <i r="1">
      <x v="34"/>
    </i>
    <i r="1">
      <x v="59"/>
    </i>
    <i t="default">
      <x v="16"/>
    </i>
    <i>
      <x v="17"/>
      <x v="13"/>
    </i>
    <i r="1">
      <x v="43"/>
    </i>
    <i t="default">
      <x v="17"/>
    </i>
    <i>
      <x v="18"/>
      <x v="8"/>
    </i>
    <i r="1">
      <x v="14"/>
    </i>
    <i r="1">
      <x v="22"/>
    </i>
    <i r="1">
      <x v="39"/>
    </i>
    <i r="1">
      <x v="51"/>
    </i>
    <i r="1">
      <x v="56"/>
    </i>
    <i r="1">
      <x v="61"/>
    </i>
    <i t="default">
      <x v="18"/>
    </i>
    <i>
      <x v="19"/>
      <x v="64"/>
    </i>
    <i t="default">
      <x v="19"/>
    </i>
    <i t="grand">
      <x/>
    </i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10"/>
    </i>
    <i>
      <x v="15"/>
    </i>
    <i t="grand">
      <x/>
    </i>
  </colItems>
  <pageFields count="1">
    <pageField fld="4" item="2" hier="-1"/>
  </pageFields>
  <dataFields count="1">
    <dataField name="Count of Student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9AE9E4-0DC0-479E-B035-20BBF064F362}" name="PivotTable1" cacheId="1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37" firstHeaderRow="0" firstDataRow="1" firstDataCol="2"/>
  <pivotFields count="29">
    <pivotField compact="0" outline="0" showAll="0"/>
    <pivotField compact="0" outline="0" showAll="0"/>
    <pivotField axis="axisRow" compact="0" outline="0" showAll="0" sortType="descending">
      <items count="72">
        <item x="0"/>
        <item x="30"/>
        <item x="37"/>
        <item x="16"/>
        <item x="25"/>
        <item x="20"/>
        <item x="57"/>
        <item x="48"/>
        <item x="49"/>
        <item x="39"/>
        <item x="46"/>
        <item x="3"/>
        <item x="9"/>
        <item x="40"/>
        <item x="24"/>
        <item x="22"/>
        <item x="7"/>
        <item x="42"/>
        <item x="55"/>
        <item x="18"/>
        <item x="14"/>
        <item x="41"/>
        <item x="52"/>
        <item x="27"/>
        <item x="17"/>
        <item x="5"/>
        <item x="50"/>
        <item x="44"/>
        <item x="15"/>
        <item x="31"/>
        <item x="43"/>
        <item x="2"/>
        <item x="21"/>
        <item x="58"/>
        <item x="38"/>
        <item x="59"/>
        <item x="13"/>
        <item x="26"/>
        <item x="19"/>
        <item x="53"/>
        <item x="8"/>
        <item x="6"/>
        <item x="12"/>
        <item x="23"/>
        <item x="10"/>
        <item x="33"/>
        <item x="45"/>
        <item x="32"/>
        <item x="36"/>
        <item x="34"/>
        <item x="11"/>
        <item x="29"/>
        <item x="1"/>
        <item x="56"/>
        <item x="47"/>
        <item x="28"/>
        <item x="51"/>
        <item x="35"/>
        <item x="4"/>
        <item x="54"/>
        <item m="1" x="70"/>
        <item x="60"/>
        <item m="1" x="69"/>
        <item x="63"/>
        <item x="64"/>
        <item x="65"/>
        <item x="66"/>
        <item x="67"/>
        <item x="68"/>
        <item x="61"/>
        <item x="6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axis="axisRow" compact="0" outline="0" showAll="0">
      <items count="31">
        <item x="6"/>
        <item x="0"/>
        <item x="23"/>
        <item x="21"/>
        <item x="15"/>
        <item x="19"/>
        <item x="14"/>
        <item x="1"/>
        <item x="10"/>
        <item x="11"/>
        <item x="13"/>
        <item x="2"/>
        <item x="3"/>
        <item x="4"/>
        <item x="5"/>
        <item x="22"/>
        <item x="12"/>
        <item x="28"/>
        <item x="8"/>
        <item x="9"/>
        <item m="1" x="29"/>
        <item x="7"/>
        <item x="16"/>
        <item x="17"/>
        <item x="26"/>
        <item x="27"/>
        <item x="18"/>
        <item x="20"/>
        <item x="24"/>
        <item x="2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2"/>
    <field x="6"/>
  </rowFields>
  <rowItems count="234">
    <i>
      <x v="44"/>
      <x v="6"/>
    </i>
    <i r="1">
      <x v="7"/>
    </i>
    <i r="1">
      <x v="8"/>
    </i>
    <i r="1">
      <x v="9"/>
    </i>
    <i r="1">
      <x v="10"/>
    </i>
    <i t="default">
      <x v="44"/>
    </i>
    <i>
      <x v="43"/>
      <x v="7"/>
    </i>
    <i r="1">
      <x v="8"/>
    </i>
    <i r="1">
      <x v="9"/>
    </i>
    <i r="1">
      <x v="16"/>
    </i>
    <i t="default">
      <x v="43"/>
    </i>
    <i>
      <x v="37"/>
      <x v="6"/>
    </i>
    <i r="1">
      <x v="7"/>
    </i>
    <i r="1">
      <x v="8"/>
    </i>
    <i r="1">
      <x v="9"/>
    </i>
    <i r="1">
      <x v="10"/>
    </i>
    <i r="1">
      <x v="23"/>
    </i>
    <i r="1">
      <x v="26"/>
    </i>
    <i t="default">
      <x v="37"/>
    </i>
    <i>
      <x v="31"/>
      <x/>
    </i>
    <i r="1">
      <x v="11"/>
    </i>
    <i r="1">
      <x v="12"/>
    </i>
    <i r="1">
      <x v="13"/>
    </i>
    <i r="1">
      <x v="14"/>
    </i>
    <i r="1">
      <x v="21"/>
    </i>
    <i t="default">
      <x v="31"/>
    </i>
    <i>
      <x v="14"/>
      <x v="7"/>
    </i>
    <i r="1">
      <x v="8"/>
    </i>
    <i r="1">
      <x v="9"/>
    </i>
    <i t="default">
      <x v="14"/>
    </i>
    <i>
      <x v="47"/>
      <x v="11"/>
    </i>
    <i r="1">
      <x v="12"/>
    </i>
    <i r="1">
      <x v="13"/>
    </i>
    <i r="1">
      <x v="14"/>
    </i>
    <i r="1">
      <x v="23"/>
    </i>
    <i t="default">
      <x v="47"/>
    </i>
    <i>
      <x v="3"/>
      <x v="7"/>
    </i>
    <i r="1">
      <x v="8"/>
    </i>
    <i r="1">
      <x v="9"/>
    </i>
    <i r="1">
      <x v="10"/>
    </i>
    <i t="default">
      <x v="3"/>
    </i>
    <i>
      <x v="54"/>
      <x v="29"/>
    </i>
    <i t="default">
      <x v="54"/>
    </i>
    <i>
      <x v="23"/>
      <x v="5"/>
    </i>
    <i r="1">
      <x v="6"/>
    </i>
    <i r="1">
      <x v="7"/>
    </i>
    <i r="1">
      <x v="8"/>
    </i>
    <i r="1">
      <x v="9"/>
    </i>
    <i t="default">
      <x v="23"/>
    </i>
    <i>
      <x v="51"/>
      <x v="5"/>
    </i>
    <i r="1">
      <x v="7"/>
    </i>
    <i r="1">
      <x v="8"/>
    </i>
    <i r="1">
      <x v="9"/>
    </i>
    <i r="1">
      <x v="27"/>
    </i>
    <i t="default">
      <x v="51"/>
    </i>
    <i>
      <x v="12"/>
      <x v="7"/>
    </i>
    <i r="1">
      <x v="8"/>
    </i>
    <i r="1">
      <x v="9"/>
    </i>
    <i r="1">
      <x v="10"/>
    </i>
    <i r="1">
      <x v="16"/>
    </i>
    <i t="default">
      <x v="12"/>
    </i>
    <i>
      <x v="10"/>
      <x v="2"/>
    </i>
    <i r="1">
      <x v="3"/>
    </i>
    <i r="1">
      <x v="15"/>
    </i>
    <i r="1">
      <x v="28"/>
    </i>
    <i t="default">
      <x v="10"/>
    </i>
    <i>
      <x v="4"/>
      <x v="4"/>
    </i>
    <i r="1">
      <x v="7"/>
    </i>
    <i r="1">
      <x v="8"/>
    </i>
    <i r="1">
      <x v="9"/>
    </i>
    <i r="1">
      <x v="22"/>
    </i>
    <i t="default">
      <x v="4"/>
    </i>
    <i>
      <x v="17"/>
      <x v="7"/>
    </i>
    <i r="1">
      <x v="15"/>
    </i>
    <i t="default">
      <x v="17"/>
    </i>
    <i>
      <x v="21"/>
      <x v="2"/>
    </i>
    <i r="1">
      <x v="15"/>
    </i>
    <i t="default">
      <x v="21"/>
    </i>
    <i>
      <x v="55"/>
      <x v="4"/>
    </i>
    <i r="1">
      <x v="7"/>
    </i>
    <i r="1">
      <x v="8"/>
    </i>
    <i r="1">
      <x v="9"/>
    </i>
    <i t="default">
      <x v="55"/>
    </i>
    <i>
      <x v="6"/>
      <x v="2"/>
    </i>
    <i r="1">
      <x v="3"/>
    </i>
    <i r="1">
      <x v="5"/>
    </i>
    <i r="1">
      <x v="25"/>
    </i>
    <i t="default">
      <x v="6"/>
    </i>
    <i>
      <x v="46"/>
      <x v="2"/>
    </i>
    <i r="1">
      <x v="8"/>
    </i>
    <i t="default">
      <x v="46"/>
    </i>
    <i>
      <x v="11"/>
      <x v="11"/>
    </i>
    <i r="1">
      <x v="12"/>
    </i>
    <i r="1">
      <x v="13"/>
    </i>
    <i t="default">
      <x v="11"/>
    </i>
    <i>
      <x v="64"/>
      <x v="3"/>
    </i>
    <i r="1">
      <x v="7"/>
    </i>
    <i r="1">
      <x v="9"/>
    </i>
    <i r="1">
      <x v="10"/>
    </i>
    <i t="default">
      <x v="64"/>
    </i>
    <i>
      <x v="25"/>
      <x v="7"/>
    </i>
    <i r="1">
      <x v="8"/>
    </i>
    <i r="1">
      <x v="9"/>
    </i>
    <i t="default">
      <x v="25"/>
    </i>
    <i>
      <x v="45"/>
      <x v="7"/>
    </i>
    <i r="1">
      <x v="8"/>
    </i>
    <i r="1">
      <x v="9"/>
    </i>
    <i r="1">
      <x v="10"/>
    </i>
    <i t="default">
      <x v="45"/>
    </i>
    <i>
      <x v="41"/>
      <x v="7"/>
    </i>
    <i r="1">
      <x v="8"/>
    </i>
    <i r="1">
      <x v="9"/>
    </i>
    <i t="default">
      <x v="41"/>
    </i>
    <i>
      <x v="18"/>
      <x v="2"/>
    </i>
    <i r="1">
      <x v="15"/>
    </i>
    <i t="default">
      <x v="18"/>
    </i>
    <i>
      <x v="16"/>
      <x v="1"/>
    </i>
    <i r="1">
      <x v="7"/>
    </i>
    <i r="1">
      <x v="16"/>
    </i>
    <i t="default">
      <x v="16"/>
    </i>
    <i>
      <x v="2"/>
      <x v="11"/>
    </i>
    <i r="1">
      <x v="12"/>
    </i>
    <i r="1">
      <x v="13"/>
    </i>
    <i t="default">
      <x v="2"/>
    </i>
    <i>
      <x v="5"/>
      <x v="7"/>
    </i>
    <i r="1">
      <x v="8"/>
    </i>
    <i t="default">
      <x v="5"/>
    </i>
    <i>
      <x v="13"/>
      <x v="2"/>
    </i>
    <i r="1">
      <x v="15"/>
    </i>
    <i t="default">
      <x v="13"/>
    </i>
    <i>
      <x v="8"/>
      <x v="7"/>
    </i>
    <i r="1">
      <x v="24"/>
    </i>
    <i t="default">
      <x v="8"/>
    </i>
    <i>
      <x v="56"/>
      <x v="2"/>
    </i>
    <i r="1">
      <x v="3"/>
    </i>
    <i t="default">
      <x v="56"/>
    </i>
    <i>
      <x v="27"/>
      <x v="7"/>
    </i>
    <i r="1">
      <x v="15"/>
    </i>
    <i t="default">
      <x v="27"/>
    </i>
    <i>
      <x v="9"/>
      <x v="7"/>
    </i>
    <i r="1">
      <x v="8"/>
    </i>
    <i t="default">
      <x v="9"/>
    </i>
    <i>
      <x v="22"/>
      <x v="2"/>
    </i>
    <i r="1">
      <x v="3"/>
    </i>
    <i t="default">
      <x v="22"/>
    </i>
    <i>
      <x v="50"/>
      <x v="7"/>
    </i>
    <i r="1">
      <x v="16"/>
    </i>
    <i t="default">
      <x v="50"/>
    </i>
    <i>
      <x v="26"/>
      <x v="8"/>
    </i>
    <i r="1">
      <x v="25"/>
    </i>
    <i t="default">
      <x v="26"/>
    </i>
    <i>
      <x v="58"/>
      <x v="18"/>
    </i>
    <i r="1">
      <x v="19"/>
    </i>
    <i t="default">
      <x v="58"/>
    </i>
    <i>
      <x v="20"/>
      <x v="7"/>
    </i>
    <i r="1">
      <x v="8"/>
    </i>
    <i r="1">
      <x v="9"/>
    </i>
    <i t="default">
      <x v="20"/>
    </i>
    <i>
      <x v="40"/>
      <x v="7"/>
    </i>
    <i r="1">
      <x v="8"/>
    </i>
    <i t="default">
      <x v="40"/>
    </i>
    <i>
      <x v="30"/>
      <x v="1"/>
    </i>
    <i r="1">
      <x v="15"/>
    </i>
    <i t="default">
      <x v="30"/>
    </i>
    <i>
      <x v="52"/>
      <x v="1"/>
    </i>
    <i r="1">
      <x v="7"/>
    </i>
    <i t="default">
      <x v="52"/>
    </i>
    <i>
      <x v="19"/>
      <x v="11"/>
    </i>
    <i t="default">
      <x v="19"/>
    </i>
    <i>
      <x v="69"/>
      <x v="7"/>
    </i>
    <i t="default">
      <x v="69"/>
    </i>
    <i>
      <x v="39"/>
      <x v="1"/>
    </i>
    <i r="1">
      <x v="15"/>
    </i>
    <i t="default">
      <x v="39"/>
    </i>
    <i>
      <x v="48"/>
      <x v="3"/>
    </i>
    <i r="1">
      <x v="7"/>
    </i>
    <i t="default">
      <x v="48"/>
    </i>
    <i>
      <x v="42"/>
      <x v="18"/>
    </i>
    <i t="default">
      <x v="42"/>
    </i>
    <i>
      <x v="15"/>
      <x v="7"/>
    </i>
    <i t="default">
      <x v="15"/>
    </i>
    <i>
      <x v="38"/>
      <x v="11"/>
    </i>
    <i t="default">
      <x v="38"/>
    </i>
    <i>
      <x v="68"/>
      <x v="2"/>
    </i>
    <i t="default">
      <x v="68"/>
    </i>
    <i>
      <x v="66"/>
      <x v="2"/>
    </i>
    <i r="1">
      <x v="15"/>
    </i>
    <i t="default">
      <x v="66"/>
    </i>
    <i>
      <x v="29"/>
      <x v="1"/>
    </i>
    <i r="1">
      <x v="16"/>
    </i>
    <i t="default">
      <x v="29"/>
    </i>
    <i>
      <x v="61"/>
      <x v="7"/>
    </i>
    <i t="default">
      <x v="61"/>
    </i>
    <i>
      <x v="67"/>
      <x v="2"/>
    </i>
    <i r="1">
      <x v="15"/>
    </i>
    <i t="default">
      <x v="67"/>
    </i>
    <i>
      <x v="65"/>
      <x v="7"/>
    </i>
    <i t="default">
      <x v="65"/>
    </i>
    <i>
      <x v="24"/>
      <x v="7"/>
    </i>
    <i t="default">
      <x v="24"/>
    </i>
    <i>
      <x v="36"/>
      <x v="1"/>
    </i>
    <i t="default">
      <x v="36"/>
    </i>
    <i>
      <x v="1"/>
      <x v="11"/>
    </i>
    <i t="default">
      <x v="1"/>
    </i>
    <i>
      <x v="28"/>
      <x v="7"/>
    </i>
    <i t="default">
      <x v="28"/>
    </i>
    <i>
      <x v="57"/>
      <x v="16"/>
    </i>
    <i t="default">
      <x v="57"/>
    </i>
    <i>
      <x v="59"/>
      <x v="2"/>
    </i>
    <i r="1">
      <x v="17"/>
    </i>
    <i t="default">
      <x v="59"/>
    </i>
    <i>
      <x v="32"/>
      <x v="16"/>
    </i>
    <i t="default">
      <x v="32"/>
    </i>
    <i>
      <x v="34"/>
      <x v="16"/>
    </i>
    <i t="default">
      <x v="34"/>
    </i>
    <i>
      <x v="35"/>
      <x v="17"/>
    </i>
    <i t="default">
      <x v="35"/>
    </i>
    <i>
      <x v="33"/>
      <x v="17"/>
    </i>
    <i t="default">
      <x v="33"/>
    </i>
    <i>
      <x v="7"/>
      <x v="2"/>
    </i>
    <i t="default">
      <x v="7"/>
    </i>
    <i>
      <x v="70"/>
      <x v="24"/>
    </i>
    <i r="1">
      <x v="25"/>
    </i>
    <i t="default">
      <x v="70"/>
    </i>
    <i>
      <x v="49"/>
      <x v="11"/>
    </i>
    <i t="default">
      <x v="49"/>
    </i>
    <i>
      <x v="53"/>
      <x v="7"/>
    </i>
    <i t="default">
      <x v="53"/>
    </i>
    <i>
      <x v="63"/>
      <x v="7"/>
    </i>
    <i t="default">
      <x v="63"/>
    </i>
    <i>
      <x/>
      <x v="1"/>
    </i>
    <i r="1">
      <x v="7"/>
    </i>
    <i t="default"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Expected Fee" fld="23" baseField="0" baseItem="0"/>
    <dataField name="Sum of Received Fee" fld="24" baseField="0" baseItem="0"/>
    <dataField name="Sum of NO OF SESSIONS TAKEN" fld="15" baseField="0" baseItem="0"/>
    <dataField name="Sum of MONTHS TAken to complete levvel" fld="14" baseField="0" baseItem="0" numFmtId="166"/>
  </dataFields>
  <formats count="1">
    <format dxfId="5">
      <pivotArea outline="0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8DD7B7-251C-4E2D-9B2D-5F2ACE81A8E7}" name="PivotTable2" cacheId="1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3:N56" firstHeaderRow="1" firstDataRow="2" firstDataCol="2" rowPageCount="1" colPageCount="1"/>
  <pivotFields count="26">
    <pivotField compact="0" outline="0" showAll="0"/>
    <pivotField axis="axisRow" dataField="1" compact="0" outline="0" showAll="0">
      <items count="67">
        <item x="0"/>
        <item x="30"/>
        <item x="37"/>
        <item x="16"/>
        <item x="25"/>
        <item x="20"/>
        <item x="57"/>
        <item x="48"/>
        <item x="49"/>
        <item x="39"/>
        <item x="46"/>
        <item x="3"/>
        <item x="9"/>
        <item x="40"/>
        <item x="24"/>
        <item x="22"/>
        <item x="7"/>
        <item x="42"/>
        <item x="55"/>
        <item x="18"/>
        <item x="14"/>
        <item x="41"/>
        <item x="52"/>
        <item x="27"/>
        <item x="17"/>
        <item x="5"/>
        <item x="50"/>
        <item x="44"/>
        <item x="15"/>
        <item x="31"/>
        <item x="43"/>
        <item x="2"/>
        <item x="21"/>
        <item x="58"/>
        <item x="38"/>
        <item x="59"/>
        <item x="13"/>
        <item x="26"/>
        <item x="19"/>
        <item x="53"/>
        <item x="8"/>
        <item x="6"/>
        <item x="12"/>
        <item x="23"/>
        <item x="10"/>
        <item x="33"/>
        <item x="45"/>
        <item x="32"/>
        <item x="36"/>
        <item x="34"/>
        <item x="11"/>
        <item x="29"/>
        <item x="1"/>
        <item x="56"/>
        <item x="47"/>
        <item x="28"/>
        <item x="51"/>
        <item x="35"/>
        <item x="4"/>
        <item x="54"/>
        <item x="65"/>
        <item x="60"/>
        <item x="61"/>
        <item x="62"/>
        <item x="63"/>
        <item x="64"/>
        <item t="default"/>
      </items>
    </pivotField>
    <pivotField axis="axisRow" compact="0" outline="0" showAll="0">
      <items count="17">
        <item x="0"/>
        <item x="12"/>
        <item x="1"/>
        <item x="10"/>
        <item x="11"/>
        <item x="13"/>
        <item x="14"/>
        <item x="2"/>
        <item x="3"/>
        <item x="4"/>
        <item x="5"/>
        <item x="6"/>
        <item x="8"/>
        <item x="9"/>
        <item x="15"/>
        <item x="7"/>
        <item t="default"/>
      </items>
    </pivotField>
    <pivotField compact="0" outline="0" showAll="0"/>
    <pivotField axis="axisPage" compact="0" outline="0" showAll="0">
      <items count="6">
        <item h="1" x="0"/>
        <item h="1" x="3"/>
        <item x="1"/>
        <item h="1" x="2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21">
        <item m="1" x="18"/>
        <item x="6"/>
        <item x="11"/>
        <item m="1" x="19"/>
        <item x="4"/>
        <item x="1"/>
        <item x="8"/>
        <item x="9"/>
        <item x="0"/>
        <item x="12"/>
        <item x="3"/>
        <item m="1" x="15"/>
        <item x="5"/>
        <item m="1" x="16"/>
        <item x="2"/>
        <item m="1" x="17"/>
        <item x="13"/>
        <item x="7"/>
        <item x="10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2"/>
    <field x="1"/>
  </rowFields>
  <rowItems count="52">
    <i>
      <x/>
      <x v="39"/>
    </i>
    <i t="default">
      <x/>
    </i>
    <i>
      <x v="1"/>
      <x v="18"/>
    </i>
    <i r="1">
      <x v="30"/>
    </i>
    <i r="1">
      <x v="33"/>
    </i>
    <i r="1">
      <x v="34"/>
    </i>
    <i r="1">
      <x v="35"/>
    </i>
    <i r="1">
      <x v="59"/>
    </i>
    <i t="default">
      <x v="1"/>
    </i>
    <i>
      <x v="2"/>
      <x v="6"/>
    </i>
    <i r="1">
      <x v="7"/>
    </i>
    <i r="1">
      <x v="8"/>
    </i>
    <i r="1">
      <x v="10"/>
    </i>
    <i r="1">
      <x v="13"/>
    </i>
    <i r="1">
      <x v="17"/>
    </i>
    <i r="1">
      <x v="21"/>
    </i>
    <i r="1">
      <x v="22"/>
    </i>
    <i r="1">
      <x v="27"/>
    </i>
    <i r="1">
      <x v="46"/>
    </i>
    <i r="1">
      <x v="53"/>
    </i>
    <i r="1">
      <x v="54"/>
    </i>
    <i r="1">
      <x v="56"/>
    </i>
    <i r="1">
      <x v="61"/>
    </i>
    <i r="1">
      <x v="62"/>
    </i>
    <i r="1">
      <x v="63"/>
    </i>
    <i r="1">
      <x v="64"/>
    </i>
    <i r="1">
      <x v="65"/>
    </i>
    <i t="default">
      <x v="2"/>
    </i>
    <i>
      <x v="3"/>
      <x v="9"/>
    </i>
    <i r="1">
      <x v="14"/>
    </i>
    <i r="1">
      <x v="26"/>
    </i>
    <i r="1">
      <x v="43"/>
    </i>
    <i r="1">
      <x v="48"/>
    </i>
    <i t="default">
      <x v="3"/>
    </i>
    <i>
      <x v="4"/>
      <x v="12"/>
    </i>
    <i r="1">
      <x v="45"/>
    </i>
    <i r="1">
      <x v="55"/>
    </i>
    <i t="default">
      <x v="4"/>
    </i>
    <i>
      <x v="5"/>
      <x v="3"/>
    </i>
    <i r="1">
      <x v="4"/>
    </i>
    <i r="1">
      <x v="23"/>
    </i>
    <i r="1">
      <x v="51"/>
    </i>
    <i t="default">
      <x v="5"/>
    </i>
    <i>
      <x v="6"/>
      <x v="37"/>
    </i>
    <i t="default">
      <x v="6"/>
    </i>
    <i>
      <x v="7"/>
      <x v="2"/>
    </i>
    <i t="default">
      <x v="7"/>
    </i>
    <i>
      <x v="10"/>
      <x v="47"/>
    </i>
    <i t="default">
      <x v="10"/>
    </i>
    <i>
      <x v="15"/>
      <x v="31"/>
    </i>
    <i t="default">
      <x v="15"/>
    </i>
    <i t="grand">
      <x/>
    </i>
  </rowItems>
  <colFields count="1">
    <field x="11"/>
  </colFields>
  <colItems count="11">
    <i>
      <x v="2"/>
    </i>
    <i>
      <x v="5"/>
    </i>
    <i>
      <x v="6"/>
    </i>
    <i>
      <x v="9"/>
    </i>
    <i>
      <x v="12"/>
    </i>
    <i>
      <x v="14"/>
    </i>
    <i>
      <x v="16"/>
    </i>
    <i>
      <x v="17"/>
    </i>
    <i>
      <x v="18"/>
    </i>
    <i>
      <x v="19"/>
    </i>
    <i t="grand">
      <x/>
    </i>
  </colItems>
  <pageFields count="1">
    <pageField fld="4" item="2" hier="-1"/>
  </pageFields>
  <dataFields count="1">
    <dataField name="Count of Student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0A49CB-E75A-4F27-A36B-5A0069BCEF18}" name="Table1" displayName="Table1" ref="C2:E20" totalsRowShown="0">
  <autoFilter ref="C2:E20" xr:uid="{F40A49CB-E75A-4F27-A36B-5A0069BCEF18}"/>
  <tableColumns count="3">
    <tableColumn id="1" xr3:uid="{0E611441-06AF-464A-B24B-34167B92EB8E}" name="#"/>
    <tableColumn id="2" xr3:uid="{6B40596F-128C-46C9-A9C8-E2D4528ADFBF}" name="Level Name" dataDxfId="3"/>
    <tableColumn id="3" xr3:uid="{4C409EF2-0EA9-4D76-A897-44FF5AE80AF2}" name="##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55" dT="2025-10-11T17:32:11.44" personId="{3564E7A3-12E2-45A6-8D90-7F46D59875F9}" id="{C2299B7A-0B75-4E9F-B604-B810A0816E97}">
    <text xml:space="preserve">Rejoined on 1st day of AAA 
</text>
  </threadedComment>
  <threadedComment ref="AB55" dT="2025-10-11T17:34:46.26" personId="{3564E7A3-12E2-45A6-8D90-7F46D59875F9}" id="{A336E162-17BD-4094-902C-A7AB2EF335D9}">
    <text xml:space="preserve">2400 FROM JUN 24, 1600 FOR SEP25 REJOIN CASE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22" dT="2025-10-11T17:32:11.44" personId="{3564E7A3-12E2-45A6-8D90-7F46D59875F9}" id="{1FD4B7E8-3C62-4526-BF9D-696EB03A5229}">
    <text xml:space="preserve">Rejoined on 1st day of AAA 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5DFF2-9994-4A37-941B-865A614068FE}">
  <sheetPr>
    <tabColor rgb="FFFFFF00"/>
  </sheetPr>
  <dimension ref="A1:AG293"/>
  <sheetViews>
    <sheetView tabSelected="1" topLeftCell="AA1" workbookViewId="0">
      <pane ySplit="2" topLeftCell="C150" activePane="bottomLeft" state="frozen"/>
      <selection pane="bottomLeft" activeCell="A248" sqref="A248"/>
      <selection activeCell="D1" sqref="D1"/>
    </sheetView>
  </sheetViews>
  <sheetFormatPr defaultColWidth="8.85546875" defaultRowHeight="15"/>
  <cols>
    <col min="1" max="3" width="11.85546875" style="10" customWidth="1"/>
    <col min="4" max="4" width="6.42578125" customWidth="1"/>
    <col min="5" max="5" width="9.7109375" style="10" customWidth="1"/>
    <col min="6" max="6" width="23.140625" style="13" customWidth="1"/>
    <col min="7" max="7" width="18.85546875" style="10" customWidth="1"/>
    <col min="8" max="8" width="27" style="10" customWidth="1"/>
    <col min="9" max="9" width="13.28515625" style="10" customWidth="1"/>
    <col min="10" max="10" width="15.140625" style="13" customWidth="1"/>
    <col min="11" max="19" width="13.28515625" style="10" customWidth="1"/>
    <col min="20" max="20" width="10.5703125" style="10" customWidth="1"/>
    <col min="21" max="21" width="11.5703125" style="10" customWidth="1"/>
    <col min="22" max="24" width="7.28515625" style="10" customWidth="1"/>
    <col min="25" max="25" width="13.42578125" style="10" customWidth="1"/>
    <col min="26" max="29" width="13.28515625" style="10" customWidth="1"/>
    <col min="30" max="30" width="15" customWidth="1"/>
    <col min="31" max="31" width="10.28515625" customWidth="1"/>
    <col min="32" max="32" width="12.85546875" customWidth="1"/>
  </cols>
  <sheetData>
    <row r="1" spans="1:33">
      <c r="F1" s="13">
        <f>SUBTOTAL(3,F3:F2096)</f>
        <v>248</v>
      </c>
      <c r="I1" s="10">
        <f>COUNTIF(I3:I2089,"WIP")</f>
        <v>73</v>
      </c>
      <c r="J1" s="13">
        <f>SUBTOTAL(3,J3:J2096)</f>
        <v>248</v>
      </c>
      <c r="K1" s="10">
        <f>SUBTOTAL(9,K3:K2096)</f>
        <v>217650</v>
      </c>
      <c r="L1" s="10">
        <f>SUBTOTAL(9,L3:L2096)</f>
        <v>214050</v>
      </c>
      <c r="AA1" s="10">
        <f ca="1">SUBTOTAL(9,AA3:AA2096)</f>
        <v>891800</v>
      </c>
      <c r="AB1" s="10">
        <f>SUBTOTAL(9,AB3:AB2096)</f>
        <v>833700</v>
      </c>
    </row>
    <row r="2" spans="1:33" s="6" customFormat="1" ht="59.25">
      <c r="A2" s="12" t="s">
        <v>0</v>
      </c>
      <c r="B2" s="146" t="s">
        <v>1</v>
      </c>
      <c r="C2" s="146" t="s">
        <v>1</v>
      </c>
      <c r="D2" s="41" t="s">
        <v>2</v>
      </c>
      <c r="E2" s="41" t="s">
        <v>3</v>
      </c>
      <c r="F2" s="42" t="s">
        <v>4</v>
      </c>
      <c r="G2" s="41" t="s">
        <v>5</v>
      </c>
      <c r="H2" s="41" t="s">
        <v>6</v>
      </c>
      <c r="I2" s="41" t="s">
        <v>7</v>
      </c>
      <c r="J2" s="42" t="s">
        <v>8</v>
      </c>
      <c r="K2" s="41" t="s">
        <v>9</v>
      </c>
      <c r="L2" s="41" t="s">
        <v>10</v>
      </c>
      <c r="M2" s="41" t="s">
        <v>11</v>
      </c>
      <c r="N2" s="41" t="s">
        <v>12</v>
      </c>
      <c r="O2" s="41" t="s">
        <v>13</v>
      </c>
      <c r="P2" s="41" t="s">
        <v>14</v>
      </c>
      <c r="Q2" s="41" t="s">
        <v>15</v>
      </c>
      <c r="R2" s="41" t="s">
        <v>16</v>
      </c>
      <c r="S2" s="41" t="s">
        <v>17</v>
      </c>
      <c r="T2" s="41" t="s">
        <v>18</v>
      </c>
      <c r="U2" s="41" t="s">
        <v>19</v>
      </c>
      <c r="V2" s="41" t="s">
        <v>20</v>
      </c>
      <c r="W2" s="41" t="s">
        <v>21</v>
      </c>
      <c r="X2" s="41" t="s">
        <v>22</v>
      </c>
      <c r="Y2" s="41" t="s">
        <v>23</v>
      </c>
      <c r="Z2" s="41" t="s">
        <v>24</v>
      </c>
      <c r="AA2" s="41" t="s">
        <v>25</v>
      </c>
      <c r="AB2" s="41" t="s">
        <v>26</v>
      </c>
      <c r="AC2" s="41" t="s">
        <v>27</v>
      </c>
      <c r="AD2" s="41" t="s">
        <v>28</v>
      </c>
      <c r="AE2" s="41" t="s">
        <v>29</v>
      </c>
      <c r="AF2" s="41" t="s">
        <v>30</v>
      </c>
      <c r="AG2" s="147" t="s">
        <v>31</v>
      </c>
    </row>
    <row r="3" spans="1:33">
      <c r="D3" s="151">
        <v>1</v>
      </c>
      <c r="E3" s="30" t="s">
        <v>32</v>
      </c>
      <c r="F3" s="31" t="s">
        <v>33</v>
      </c>
      <c r="G3" s="30" t="s">
        <v>34</v>
      </c>
      <c r="H3" s="44" t="str">
        <f>CONCATENATE(E3,"_",F3,"_",G3)</f>
        <v>A001_Aaditya Patil_A01</v>
      </c>
      <c r="I3" s="30" t="s">
        <v>35</v>
      </c>
      <c r="J3" s="31" t="s">
        <v>36</v>
      </c>
      <c r="K3" s="30">
        <v>1650</v>
      </c>
      <c r="L3" s="30">
        <v>1650</v>
      </c>
      <c r="M3" s="32">
        <v>44841</v>
      </c>
      <c r="N3" s="32">
        <v>44841</v>
      </c>
      <c r="O3" s="32">
        <v>44841</v>
      </c>
      <c r="P3" s="30" t="s">
        <v>37</v>
      </c>
      <c r="Q3" s="36">
        <v>44928</v>
      </c>
      <c r="R3" s="74">
        <f ca="1">(IF(Q3="",(TODAY()-O3),(Q3-O3)))/30</f>
        <v>2.9</v>
      </c>
      <c r="S3" s="44">
        <f ca="1">ROUNDUP(R3*8,0)</f>
        <v>24</v>
      </c>
      <c r="T3" s="30"/>
      <c r="U3" s="30"/>
      <c r="V3" s="30"/>
      <c r="W3" s="30"/>
      <c r="X3" s="30"/>
      <c r="Y3" s="30"/>
      <c r="Z3" s="30" t="s">
        <v>38</v>
      </c>
      <c r="AA3" s="30">
        <v>0</v>
      </c>
      <c r="AB3" s="30">
        <v>0</v>
      </c>
      <c r="AC3" s="30" t="s">
        <v>39</v>
      </c>
      <c r="AD3" s="33" t="s">
        <v>39</v>
      </c>
      <c r="AE3" s="34"/>
      <c r="AF3" s="34"/>
    </row>
    <row r="4" spans="1:33">
      <c r="D4" s="151">
        <v>2</v>
      </c>
      <c r="E4" s="30" t="s">
        <v>32</v>
      </c>
      <c r="F4" s="31" t="s">
        <v>33</v>
      </c>
      <c r="G4" s="30" t="s">
        <v>40</v>
      </c>
      <c r="H4" s="44" t="str">
        <f>CONCATENATE(E4,"_",F4,"_",G4)</f>
        <v>A001_Aaditya Patil_A03</v>
      </c>
      <c r="I4" s="30" t="s">
        <v>35</v>
      </c>
      <c r="J4" s="31" t="s">
        <v>41</v>
      </c>
      <c r="K4" s="30">
        <v>600</v>
      </c>
      <c r="L4" s="30">
        <v>600</v>
      </c>
      <c r="M4" s="32">
        <v>44929</v>
      </c>
      <c r="N4" s="32">
        <v>44929</v>
      </c>
      <c r="O4" s="32">
        <v>44929</v>
      </c>
      <c r="P4" s="30" t="s">
        <v>37</v>
      </c>
      <c r="Q4" s="36">
        <v>45046</v>
      </c>
      <c r="R4" s="74">
        <f ca="1">(IF(Q4="",(TODAY()-O4),(Q4-O4)))/30</f>
        <v>3.9</v>
      </c>
      <c r="S4" s="44">
        <f ca="1">ROUNDUP(R4*8,0)</f>
        <v>32</v>
      </c>
      <c r="T4" s="30"/>
      <c r="U4" s="30"/>
      <c r="V4" s="30"/>
      <c r="W4" s="30"/>
      <c r="X4" s="30"/>
      <c r="Y4" s="30"/>
      <c r="Z4" s="30" t="s">
        <v>42</v>
      </c>
      <c r="AA4" s="30">
        <v>0</v>
      </c>
      <c r="AB4" s="30">
        <v>0</v>
      </c>
      <c r="AC4" s="30" t="s">
        <v>39</v>
      </c>
      <c r="AD4" s="34"/>
      <c r="AE4" s="34"/>
      <c r="AF4" s="34"/>
    </row>
    <row r="5" spans="1:33">
      <c r="D5" s="151">
        <v>3</v>
      </c>
      <c r="E5" s="30" t="s">
        <v>43</v>
      </c>
      <c r="F5" s="31" t="s">
        <v>44</v>
      </c>
      <c r="G5" s="30" t="s">
        <v>34</v>
      </c>
      <c r="H5" s="44" t="str">
        <f>CONCATENATE(E5,"_",F5,"_",G5)</f>
        <v>A002_Tanush Thosare_A01</v>
      </c>
      <c r="I5" s="30" t="s">
        <v>35</v>
      </c>
      <c r="J5" s="31" t="s">
        <v>36</v>
      </c>
      <c r="K5" s="30">
        <v>1600</v>
      </c>
      <c r="L5" s="30">
        <v>1600</v>
      </c>
      <c r="M5" s="32">
        <v>44841</v>
      </c>
      <c r="N5" s="32">
        <v>44841</v>
      </c>
      <c r="O5" s="32">
        <v>44841</v>
      </c>
      <c r="P5" s="30" t="s">
        <v>37</v>
      </c>
      <c r="Q5" s="32">
        <v>44927</v>
      </c>
      <c r="R5" s="74">
        <f ca="1">(IF(Q5="",(TODAY()-O5),(Q5-O5)))/30</f>
        <v>2.8666666666666667</v>
      </c>
      <c r="S5" s="44">
        <f ca="1">ROUNDUP(R5*8,0)</f>
        <v>23</v>
      </c>
      <c r="T5" s="30"/>
      <c r="U5" s="30"/>
      <c r="V5" s="30"/>
      <c r="W5" s="30"/>
      <c r="X5" s="30"/>
      <c r="Y5" s="30"/>
      <c r="Z5" s="30" t="s">
        <v>45</v>
      </c>
      <c r="AA5" s="30">
        <v>2500</v>
      </c>
      <c r="AB5" s="30">
        <v>2500</v>
      </c>
      <c r="AC5" s="30" t="s">
        <v>46</v>
      </c>
      <c r="AD5" s="33">
        <v>44927</v>
      </c>
      <c r="AE5" s="34"/>
      <c r="AF5" s="34"/>
    </row>
    <row r="6" spans="1:33">
      <c r="D6" s="151">
        <v>4</v>
      </c>
      <c r="E6" s="30" t="s">
        <v>43</v>
      </c>
      <c r="F6" s="31" t="s">
        <v>44</v>
      </c>
      <c r="G6" s="30" t="s">
        <v>40</v>
      </c>
      <c r="H6" s="44" t="str">
        <f>CONCATENATE(E6,"_",F6,"_",G6)</f>
        <v>A002_Tanush Thosare_A03</v>
      </c>
      <c r="I6" s="30" t="s">
        <v>35</v>
      </c>
      <c r="J6" s="31" t="s">
        <v>41</v>
      </c>
      <c r="K6" s="30">
        <v>600</v>
      </c>
      <c r="L6" s="30">
        <v>600</v>
      </c>
      <c r="M6" s="32">
        <v>44929</v>
      </c>
      <c r="N6" s="32">
        <v>44929</v>
      </c>
      <c r="O6" s="32">
        <v>44929</v>
      </c>
      <c r="P6" s="30" t="s">
        <v>37</v>
      </c>
      <c r="Q6" s="32">
        <v>45040</v>
      </c>
      <c r="R6" s="74">
        <f ca="1">(IF(Q6="",(TODAY()-O6),(Q6-O6)))/30</f>
        <v>3.7</v>
      </c>
      <c r="S6" s="44">
        <f ca="1">ROUNDUP(R6*8,0)</f>
        <v>30</v>
      </c>
      <c r="T6" s="30"/>
      <c r="U6" s="30"/>
      <c r="V6" s="30"/>
      <c r="W6" s="30"/>
      <c r="X6" s="30"/>
      <c r="Y6" s="30"/>
      <c r="Z6" s="30" t="s">
        <v>47</v>
      </c>
      <c r="AA6" s="30">
        <v>3600</v>
      </c>
      <c r="AB6" s="30">
        <v>3600</v>
      </c>
      <c r="AC6" s="30" t="s">
        <v>46</v>
      </c>
      <c r="AD6" s="33">
        <v>45040</v>
      </c>
      <c r="AE6" s="34"/>
      <c r="AF6" s="34"/>
    </row>
    <row r="7" spans="1:33">
      <c r="D7" s="151">
        <v>5</v>
      </c>
      <c r="E7" s="21" t="s">
        <v>48</v>
      </c>
      <c r="F7" s="22" t="s">
        <v>49</v>
      </c>
      <c r="G7" s="21" t="s">
        <v>50</v>
      </c>
      <c r="H7" s="44" t="str">
        <f>CONCATENATE(E7,"_",F7,"_",G7)</f>
        <v>A003_Prathmesh Zope_A08</v>
      </c>
      <c r="I7" s="30" t="s">
        <v>35</v>
      </c>
      <c r="J7" s="31" t="s">
        <v>51</v>
      </c>
      <c r="K7" s="30">
        <v>1600</v>
      </c>
      <c r="L7" s="30">
        <v>1600</v>
      </c>
      <c r="M7" s="32">
        <v>44868</v>
      </c>
      <c r="N7" s="32">
        <v>44868</v>
      </c>
      <c r="O7" s="32">
        <v>44870</v>
      </c>
      <c r="P7" s="32" t="s">
        <v>52</v>
      </c>
      <c r="Q7" s="32">
        <v>45034</v>
      </c>
      <c r="R7" s="74">
        <f ca="1">(IF(Q7="",(TODAY()-O7),(Q7-O7)))/30</f>
        <v>5.4666666666666668</v>
      </c>
      <c r="S7" s="44">
        <f ca="1">ROUNDUP(R7*8,0)</f>
        <v>44</v>
      </c>
      <c r="T7" s="30"/>
      <c r="U7" s="30"/>
      <c r="V7" s="30"/>
      <c r="W7" s="30"/>
      <c r="X7" s="30"/>
      <c r="Y7" s="30"/>
      <c r="Z7" s="30" t="s">
        <v>47</v>
      </c>
      <c r="AA7" s="30">
        <v>3600</v>
      </c>
      <c r="AB7" s="30">
        <v>3600</v>
      </c>
      <c r="AC7" s="30" t="s">
        <v>46</v>
      </c>
      <c r="AD7" s="33">
        <v>44868</v>
      </c>
      <c r="AE7" s="34"/>
      <c r="AF7" s="34"/>
    </row>
    <row r="8" spans="1:33">
      <c r="D8" s="151">
        <v>6</v>
      </c>
      <c r="E8" s="21" t="s">
        <v>48</v>
      </c>
      <c r="F8" s="22" t="s">
        <v>49</v>
      </c>
      <c r="G8" s="21" t="s">
        <v>53</v>
      </c>
      <c r="H8" s="44" t="str">
        <f>CONCATENATE(E8,"_",F8,"_",G8)</f>
        <v>A003_Prathmesh Zope_A09</v>
      </c>
      <c r="I8" s="30" t="s">
        <v>35</v>
      </c>
      <c r="J8" s="31" t="s">
        <v>54</v>
      </c>
      <c r="K8" s="30">
        <v>400</v>
      </c>
      <c r="L8" s="30">
        <v>400</v>
      </c>
      <c r="M8" s="32">
        <v>45034</v>
      </c>
      <c r="N8" s="32">
        <v>45034</v>
      </c>
      <c r="O8" s="32">
        <v>45034</v>
      </c>
      <c r="P8" s="32" t="s">
        <v>52</v>
      </c>
      <c r="Q8" s="32">
        <v>45121</v>
      </c>
      <c r="R8" s="74">
        <f ca="1">(IF(Q8="",(TODAY()-O8),(Q8-O8)))/30</f>
        <v>2.9</v>
      </c>
      <c r="S8" s="44">
        <f ca="1">ROUNDUP(R8*8,0)</f>
        <v>24</v>
      </c>
      <c r="T8" s="30"/>
      <c r="U8" s="30"/>
      <c r="V8" s="30"/>
      <c r="W8" s="30"/>
      <c r="X8" s="30"/>
      <c r="Y8" s="30"/>
      <c r="Z8" s="30" t="s">
        <v>47</v>
      </c>
      <c r="AA8" s="30">
        <v>3600</v>
      </c>
      <c r="AB8" s="30">
        <v>3600</v>
      </c>
      <c r="AC8" s="30" t="s">
        <v>46</v>
      </c>
      <c r="AD8" s="33">
        <v>45034</v>
      </c>
      <c r="AE8" s="34"/>
      <c r="AF8" s="34"/>
    </row>
    <row r="9" spans="1:33">
      <c r="D9" s="151">
        <v>7</v>
      </c>
      <c r="E9" s="21" t="s">
        <v>48</v>
      </c>
      <c r="F9" s="22" t="s">
        <v>49</v>
      </c>
      <c r="G9" s="21" t="s">
        <v>55</v>
      </c>
      <c r="H9" s="44" t="str">
        <f>CONCATENATE(E9,"_",F9,"_",G9)</f>
        <v>A003_Prathmesh Zope_A10</v>
      </c>
      <c r="I9" s="30" t="s">
        <v>35</v>
      </c>
      <c r="J9" s="31" t="s">
        <v>56</v>
      </c>
      <c r="K9" s="30">
        <v>400</v>
      </c>
      <c r="L9" s="30">
        <v>400</v>
      </c>
      <c r="M9" s="32">
        <v>45124</v>
      </c>
      <c r="N9" s="32">
        <v>45121</v>
      </c>
      <c r="O9" s="32">
        <v>45121</v>
      </c>
      <c r="P9" s="32" t="s">
        <v>52</v>
      </c>
      <c r="Q9" s="32">
        <v>45268</v>
      </c>
      <c r="R9" s="74">
        <f ca="1">(IF(Q9="",(TODAY()-O9),(Q9-O9)))/30</f>
        <v>4.9000000000000004</v>
      </c>
      <c r="S9" s="44">
        <f ca="1">ROUNDUP(R9*8,0)</f>
        <v>40</v>
      </c>
      <c r="T9" s="30"/>
      <c r="U9" s="30"/>
      <c r="V9" s="30"/>
      <c r="W9" s="30"/>
      <c r="X9" s="30"/>
      <c r="Y9" s="30"/>
      <c r="Z9" s="30" t="s">
        <v>47</v>
      </c>
      <c r="AA9" s="30">
        <v>3600</v>
      </c>
      <c r="AB9" s="30">
        <v>3600</v>
      </c>
      <c r="AC9" s="30" t="s">
        <v>46</v>
      </c>
      <c r="AD9" s="33">
        <v>45124</v>
      </c>
      <c r="AE9" s="34"/>
      <c r="AF9" s="34"/>
    </row>
    <row r="10" spans="1:33">
      <c r="D10" s="151">
        <v>8</v>
      </c>
      <c r="E10" s="21" t="s">
        <v>48</v>
      </c>
      <c r="F10" s="22" t="s">
        <v>49</v>
      </c>
      <c r="G10" s="21" t="s">
        <v>57</v>
      </c>
      <c r="H10" s="44" t="str">
        <f>CONCATENATE(E10,"_",F10,"_",G10)</f>
        <v>A003_Prathmesh Zope_A11</v>
      </c>
      <c r="I10" s="30" t="s">
        <v>35</v>
      </c>
      <c r="J10" s="31" t="s">
        <v>58</v>
      </c>
      <c r="K10" s="30">
        <v>400</v>
      </c>
      <c r="L10" s="30">
        <v>400</v>
      </c>
      <c r="M10" s="32">
        <v>45264</v>
      </c>
      <c r="N10" s="32">
        <v>45264</v>
      </c>
      <c r="O10" s="32">
        <v>45268</v>
      </c>
      <c r="P10" s="32" t="s">
        <v>52</v>
      </c>
      <c r="Q10" s="32">
        <v>45437</v>
      </c>
      <c r="R10" s="74">
        <f ca="1">(IF(Q10="",(TODAY()-O10),(Q10-O10)))/30</f>
        <v>5.6333333333333337</v>
      </c>
      <c r="S10" s="44">
        <f ca="1">ROUNDUP(R10*8,0)</f>
        <v>46</v>
      </c>
      <c r="T10" s="30"/>
      <c r="U10" s="30"/>
      <c r="V10" s="30"/>
      <c r="W10" s="30"/>
      <c r="X10" s="30"/>
      <c r="Y10" s="30"/>
      <c r="Z10" s="30" t="s">
        <v>47</v>
      </c>
      <c r="AA10" s="30">
        <v>3600</v>
      </c>
      <c r="AB10" s="30">
        <v>3600</v>
      </c>
      <c r="AC10" s="30" t="s">
        <v>46</v>
      </c>
      <c r="AD10" s="33">
        <v>45264</v>
      </c>
      <c r="AE10" s="34"/>
      <c r="AF10" s="34"/>
    </row>
    <row r="11" spans="1:33">
      <c r="D11" s="151">
        <v>9</v>
      </c>
      <c r="E11" s="21" t="s">
        <v>48</v>
      </c>
      <c r="F11" s="22" t="s">
        <v>49</v>
      </c>
      <c r="G11" s="21" t="s">
        <v>59</v>
      </c>
      <c r="H11" s="44" t="str">
        <f>CONCATENATE(E11,"_",F11,"_",G11)</f>
        <v>A003_Prathmesh Zope_A12</v>
      </c>
      <c r="I11" s="32" t="s">
        <v>35</v>
      </c>
      <c r="J11" s="31" t="s">
        <v>60</v>
      </c>
      <c r="K11" s="30">
        <v>400</v>
      </c>
      <c r="L11" s="30">
        <v>400</v>
      </c>
      <c r="M11" s="32">
        <v>45447</v>
      </c>
      <c r="N11" s="32">
        <v>45444</v>
      </c>
      <c r="O11" s="32">
        <v>45444</v>
      </c>
      <c r="P11" s="32" t="s">
        <v>52</v>
      </c>
      <c r="Q11" s="32">
        <v>45629</v>
      </c>
      <c r="R11" s="74">
        <f ca="1">(IF(Q11="",(TODAY()-O11),(Q11-O11)))/30</f>
        <v>6.166666666666667</v>
      </c>
      <c r="S11" s="44">
        <f ca="1">ROUNDUP(R11*8,0)</f>
        <v>50</v>
      </c>
      <c r="T11" s="32">
        <v>45629</v>
      </c>
      <c r="U11" s="32">
        <v>45629</v>
      </c>
      <c r="V11" s="50">
        <v>0.82</v>
      </c>
      <c r="W11" s="30" t="s">
        <v>61</v>
      </c>
      <c r="X11" s="30">
        <v>2</v>
      </c>
      <c r="Y11" s="30" t="s">
        <v>46</v>
      </c>
      <c r="Z11" s="30" t="s">
        <v>47</v>
      </c>
      <c r="AA11" s="30">
        <v>3600</v>
      </c>
      <c r="AB11" s="30">
        <v>3600</v>
      </c>
      <c r="AC11" s="30" t="s">
        <v>46</v>
      </c>
      <c r="AD11" s="33">
        <v>45495</v>
      </c>
      <c r="AE11" s="34"/>
      <c r="AF11" s="34"/>
    </row>
    <row r="12" spans="1:33">
      <c r="A12" s="10" t="s">
        <v>62</v>
      </c>
      <c r="B12" s="10" t="s">
        <v>63</v>
      </c>
      <c r="D12" s="151">
        <v>10</v>
      </c>
      <c r="E12" s="21" t="s">
        <v>48</v>
      </c>
      <c r="F12" s="22" t="s">
        <v>49</v>
      </c>
      <c r="G12" s="21" t="s">
        <v>64</v>
      </c>
      <c r="H12" s="44" t="str">
        <f>CONCATENATE(E12,"_",F12,"_",G12)</f>
        <v>A003_Prathmesh Zope_A13</v>
      </c>
      <c r="I12" s="23" t="s">
        <v>65</v>
      </c>
      <c r="J12" s="22" t="s">
        <v>66</v>
      </c>
      <c r="K12" s="21">
        <v>400</v>
      </c>
      <c r="L12" s="21"/>
      <c r="M12" s="23">
        <v>45632</v>
      </c>
      <c r="N12" s="23">
        <v>45632</v>
      </c>
      <c r="O12" s="23">
        <v>45632</v>
      </c>
      <c r="P12" s="23" t="s">
        <v>67</v>
      </c>
      <c r="Q12" s="21"/>
      <c r="R12" s="74">
        <f ca="1">(IF(Q12="",(TODAY()-O12),(Q12-O12)))/30</f>
        <v>11.8</v>
      </c>
      <c r="S12" s="44">
        <f ca="1">ROUNDUP(R12*8,0)</f>
        <v>95</v>
      </c>
      <c r="T12" s="21"/>
      <c r="U12" s="21"/>
      <c r="V12" s="21"/>
      <c r="W12" s="21"/>
      <c r="X12" s="21"/>
      <c r="Y12" s="21"/>
      <c r="Z12" s="21" t="s">
        <v>47</v>
      </c>
      <c r="AA12" s="21">
        <v>3600</v>
      </c>
      <c r="AB12" s="21">
        <v>3600</v>
      </c>
      <c r="AC12" s="21" t="s">
        <v>68</v>
      </c>
      <c r="AD12" s="2">
        <v>45686</v>
      </c>
      <c r="AE12" s="1" t="s">
        <v>69</v>
      </c>
      <c r="AF12" s="1"/>
    </row>
    <row r="13" spans="1:33">
      <c r="D13" s="151">
        <v>11</v>
      </c>
      <c r="E13" s="30" t="s">
        <v>70</v>
      </c>
      <c r="F13" s="31" t="s">
        <v>71</v>
      </c>
      <c r="G13" s="30" t="s">
        <v>50</v>
      </c>
      <c r="H13" s="44" t="str">
        <f>CONCATENATE(E13,"_",F13,"_",G13)</f>
        <v>A004_Asmi Kshirsagar_A08</v>
      </c>
      <c r="I13" s="30" t="s">
        <v>35</v>
      </c>
      <c r="J13" s="31" t="s">
        <v>51</v>
      </c>
      <c r="K13" s="30">
        <v>1600</v>
      </c>
      <c r="L13" s="30">
        <v>1600</v>
      </c>
      <c r="M13" s="32">
        <v>45263</v>
      </c>
      <c r="N13" s="32">
        <v>44868</v>
      </c>
      <c r="O13" s="32">
        <v>44870</v>
      </c>
      <c r="P13" s="32" t="s">
        <v>52</v>
      </c>
      <c r="Q13" s="32">
        <v>45058</v>
      </c>
      <c r="R13" s="74">
        <f ca="1">(IF(Q13="",(TODAY()-O13),(Q13-O13)))/30</f>
        <v>6.2666666666666666</v>
      </c>
      <c r="S13" s="44">
        <f ca="1">ROUNDUP(R13*8,0)</f>
        <v>51</v>
      </c>
      <c r="T13" s="30"/>
      <c r="U13" s="30"/>
      <c r="V13" s="30"/>
      <c r="W13" s="30"/>
      <c r="X13" s="30"/>
      <c r="Y13" s="30"/>
      <c r="Z13" s="30" t="s">
        <v>47</v>
      </c>
      <c r="AA13" s="30">
        <v>3600</v>
      </c>
      <c r="AB13" s="30">
        <v>3600</v>
      </c>
      <c r="AC13" s="30" t="s">
        <v>46</v>
      </c>
      <c r="AD13" s="33">
        <v>44935</v>
      </c>
      <c r="AE13" s="34"/>
      <c r="AF13" s="34"/>
    </row>
    <row r="14" spans="1:33">
      <c r="D14" s="151">
        <v>12</v>
      </c>
      <c r="E14" s="30" t="s">
        <v>70</v>
      </c>
      <c r="F14" s="31" t="s">
        <v>71</v>
      </c>
      <c r="G14" s="30" t="s">
        <v>53</v>
      </c>
      <c r="H14" s="44" t="str">
        <f>CONCATENATE(E14,"_",F14,"_",G14)</f>
        <v>A004_Asmi Kshirsagar_A09</v>
      </c>
      <c r="I14" s="30" t="s">
        <v>35</v>
      </c>
      <c r="J14" s="31" t="s">
        <v>54</v>
      </c>
      <c r="K14" s="30">
        <v>400</v>
      </c>
      <c r="L14" s="30">
        <v>400</v>
      </c>
      <c r="M14" s="32">
        <v>45058</v>
      </c>
      <c r="N14" s="32">
        <v>45058</v>
      </c>
      <c r="O14" s="32">
        <v>45058</v>
      </c>
      <c r="P14" s="32" t="s">
        <v>52</v>
      </c>
      <c r="Q14" s="32">
        <v>45168</v>
      </c>
      <c r="R14" s="74">
        <f ca="1">(IF(Q14="",(TODAY()-O14),(Q14-O14)))/30</f>
        <v>3.6666666666666665</v>
      </c>
      <c r="S14" s="44">
        <f ca="1">ROUNDUP(R14*8,0)</f>
        <v>30</v>
      </c>
      <c r="T14" s="30"/>
      <c r="U14" s="30"/>
      <c r="V14" s="30"/>
      <c r="W14" s="30"/>
      <c r="X14" s="30"/>
      <c r="Y14" s="30"/>
      <c r="Z14" s="30" t="s">
        <v>47</v>
      </c>
      <c r="AA14" s="30">
        <v>3600</v>
      </c>
      <c r="AB14" s="30">
        <v>3600</v>
      </c>
      <c r="AC14" s="30" t="s">
        <v>46</v>
      </c>
      <c r="AD14" s="33">
        <v>45058</v>
      </c>
      <c r="AE14" s="34"/>
      <c r="AF14" s="34"/>
    </row>
    <row r="15" spans="1:33">
      <c r="D15" s="151">
        <v>13</v>
      </c>
      <c r="E15" s="30" t="s">
        <v>70</v>
      </c>
      <c r="F15" s="31" t="s">
        <v>71</v>
      </c>
      <c r="G15" s="30" t="s">
        <v>55</v>
      </c>
      <c r="H15" s="44" t="str">
        <f>CONCATENATE(E15,"_",F15,"_",G15)</f>
        <v>A004_Asmi Kshirsagar_A10</v>
      </c>
      <c r="I15" s="30" t="s">
        <v>35</v>
      </c>
      <c r="J15" s="31" t="s">
        <v>56</v>
      </c>
      <c r="K15" s="30">
        <v>400</v>
      </c>
      <c r="L15" s="30">
        <v>400</v>
      </c>
      <c r="M15" s="32">
        <v>45186</v>
      </c>
      <c r="N15" s="32">
        <v>45186</v>
      </c>
      <c r="O15" s="32">
        <v>45180</v>
      </c>
      <c r="P15" s="32" t="s">
        <v>52</v>
      </c>
      <c r="Q15" s="32"/>
      <c r="R15" s="74">
        <f ca="1">(IF(Q15="",(TODAY()-O15),(Q15-O15)))/30</f>
        <v>26.866666666666667</v>
      </c>
      <c r="S15" s="44">
        <f ca="1">ROUNDUP(R15*8,0)</f>
        <v>215</v>
      </c>
      <c r="T15" s="30" t="s">
        <v>72</v>
      </c>
      <c r="U15" s="30"/>
      <c r="V15" s="30"/>
      <c r="W15" s="30"/>
      <c r="X15" s="30"/>
      <c r="Y15" s="30"/>
      <c r="Z15" s="30" t="s">
        <v>47</v>
      </c>
      <c r="AA15" s="30">
        <v>3600</v>
      </c>
      <c r="AB15" s="30">
        <v>3600</v>
      </c>
      <c r="AC15" s="30" t="s">
        <v>46</v>
      </c>
      <c r="AD15" s="33">
        <v>45186</v>
      </c>
      <c r="AE15" s="34"/>
      <c r="AF15" s="34"/>
    </row>
    <row r="16" spans="1:33">
      <c r="D16" s="151">
        <v>14</v>
      </c>
      <c r="E16" s="30" t="s">
        <v>73</v>
      </c>
      <c r="F16" s="31" t="s">
        <v>74</v>
      </c>
      <c r="G16" s="30" t="s">
        <v>75</v>
      </c>
      <c r="H16" s="44" t="str">
        <f>CONCATENATE(E16,"_",F16,"_",G16)</f>
        <v>A005_Yatharth Kaushik_V01</v>
      </c>
      <c r="I16" s="30" t="s">
        <v>35</v>
      </c>
      <c r="J16" s="31" t="s">
        <v>76</v>
      </c>
      <c r="K16" s="30">
        <v>1600</v>
      </c>
      <c r="L16" s="30">
        <v>1600</v>
      </c>
      <c r="M16" s="32">
        <v>44897</v>
      </c>
      <c r="N16" s="32">
        <v>44897</v>
      </c>
      <c r="O16" s="32">
        <v>44889</v>
      </c>
      <c r="P16" s="30" t="s">
        <v>77</v>
      </c>
      <c r="Q16" s="32">
        <v>44985</v>
      </c>
      <c r="R16" s="74">
        <f ca="1">(IF(Q16="",(TODAY()-O16),(Q16-O16)))/30</f>
        <v>3.2</v>
      </c>
      <c r="S16" s="44">
        <f ca="1">ROUNDUP(R16*8,0)</f>
        <v>26</v>
      </c>
      <c r="T16" s="30"/>
      <c r="U16" s="30"/>
      <c r="V16" s="30"/>
      <c r="W16" s="30"/>
      <c r="X16" s="30"/>
      <c r="Y16" s="30"/>
      <c r="Z16" s="30" t="s">
        <v>47</v>
      </c>
      <c r="AA16" s="30">
        <v>3600</v>
      </c>
      <c r="AB16" s="30">
        <v>3600</v>
      </c>
      <c r="AC16" s="30" t="s">
        <v>46</v>
      </c>
      <c r="AD16" s="33">
        <v>44985</v>
      </c>
      <c r="AE16" s="34"/>
      <c r="AF16" s="34"/>
    </row>
    <row r="17" spans="4:32">
      <c r="D17" s="151">
        <v>15</v>
      </c>
      <c r="E17" s="30" t="s">
        <v>73</v>
      </c>
      <c r="F17" s="31" t="s">
        <v>74</v>
      </c>
      <c r="G17" s="30" t="s">
        <v>78</v>
      </c>
      <c r="H17" s="44" t="str">
        <f>CONCATENATE(E17,"_",F17,"_",G17)</f>
        <v>A005_Yatharth Kaushik_V02</v>
      </c>
      <c r="I17" s="30" t="s">
        <v>35</v>
      </c>
      <c r="J17" s="31" t="s">
        <v>79</v>
      </c>
      <c r="K17" s="30">
        <v>600</v>
      </c>
      <c r="L17" s="30">
        <v>600</v>
      </c>
      <c r="M17" s="32">
        <v>45000</v>
      </c>
      <c r="N17" s="32">
        <v>44990</v>
      </c>
      <c r="O17" s="32">
        <v>44990</v>
      </c>
      <c r="P17" s="30" t="s">
        <v>77</v>
      </c>
      <c r="Q17" s="36">
        <v>45076</v>
      </c>
      <c r="R17" s="74">
        <f ca="1">(IF(Q17="",(TODAY()-O17),(Q17-O17)))/30</f>
        <v>2.8666666666666667</v>
      </c>
      <c r="S17" s="44">
        <f ca="1">ROUNDUP(R17*8,0)</f>
        <v>23</v>
      </c>
      <c r="T17" s="30"/>
      <c r="U17" s="30"/>
      <c r="V17" s="30"/>
      <c r="W17" s="30"/>
      <c r="X17" s="30"/>
      <c r="Y17" s="30"/>
      <c r="Z17" s="30" t="s">
        <v>47</v>
      </c>
      <c r="AA17" s="30">
        <v>3600</v>
      </c>
      <c r="AB17" s="30">
        <v>3600</v>
      </c>
      <c r="AC17" s="30" t="s">
        <v>46</v>
      </c>
      <c r="AD17" s="33">
        <v>45048</v>
      </c>
      <c r="AE17" s="34"/>
      <c r="AF17" s="34"/>
    </row>
    <row r="18" spans="4:32">
      <c r="D18" s="151">
        <v>16</v>
      </c>
      <c r="E18" s="30" t="s">
        <v>80</v>
      </c>
      <c r="F18" s="31" t="s">
        <v>81</v>
      </c>
      <c r="G18" s="30" t="s">
        <v>40</v>
      </c>
      <c r="H18" s="44" t="str">
        <f>CONCATENATE(E18,"_",F18,"_",G18)</f>
        <v>A006_Kushal Patil_A03</v>
      </c>
      <c r="I18" s="30" t="s">
        <v>35</v>
      </c>
      <c r="J18" s="31" t="s">
        <v>41</v>
      </c>
      <c r="K18" s="30">
        <v>1600</v>
      </c>
      <c r="L18" s="30">
        <v>1600</v>
      </c>
      <c r="M18" s="32">
        <v>44892</v>
      </c>
      <c r="N18" s="32">
        <v>44892</v>
      </c>
      <c r="O18" s="32">
        <v>44892</v>
      </c>
      <c r="P18" s="30" t="s">
        <v>82</v>
      </c>
      <c r="Q18" s="32">
        <v>44969</v>
      </c>
      <c r="R18" s="74">
        <f ca="1">(IF(Q18="",(TODAY()-O18),(Q18-O18)))/30</f>
        <v>2.5666666666666669</v>
      </c>
      <c r="S18" s="44">
        <f ca="1">ROUNDUP(R18*8,0)</f>
        <v>21</v>
      </c>
      <c r="T18" s="30"/>
      <c r="U18" s="30"/>
      <c r="V18" s="30"/>
      <c r="W18" s="30"/>
      <c r="X18" s="30"/>
      <c r="Y18" s="30"/>
      <c r="Z18" s="30" t="s">
        <v>47</v>
      </c>
      <c r="AA18" s="30">
        <v>3600</v>
      </c>
      <c r="AB18" s="30">
        <v>3600</v>
      </c>
      <c r="AC18" s="30" t="s">
        <v>46</v>
      </c>
      <c r="AD18" s="33">
        <v>44969</v>
      </c>
      <c r="AE18" s="34"/>
      <c r="AF18" s="34"/>
    </row>
    <row r="19" spans="4:32">
      <c r="D19" s="151">
        <v>17</v>
      </c>
      <c r="E19" s="30" t="s">
        <v>80</v>
      </c>
      <c r="F19" s="31" t="s">
        <v>81</v>
      </c>
      <c r="G19" s="30" t="s">
        <v>83</v>
      </c>
      <c r="H19" s="44" t="str">
        <f>CONCATENATE(E19,"_",F19,"_",G19)</f>
        <v>A006_Kushal Patil_A04</v>
      </c>
      <c r="I19" s="30" t="s">
        <v>35</v>
      </c>
      <c r="J19" s="31" t="s">
        <v>84</v>
      </c>
      <c r="K19" s="30">
        <v>600</v>
      </c>
      <c r="L19" s="30">
        <v>600</v>
      </c>
      <c r="M19" s="32">
        <v>45048</v>
      </c>
      <c r="N19" s="32">
        <v>45032</v>
      </c>
      <c r="O19" s="32">
        <v>45032</v>
      </c>
      <c r="P19" s="30" t="s">
        <v>82</v>
      </c>
      <c r="Q19" s="32">
        <v>45137</v>
      </c>
      <c r="R19" s="74">
        <f ca="1">(IF(Q19="",(TODAY()-O19),(Q19-O19)))/30</f>
        <v>3.5</v>
      </c>
      <c r="S19" s="44">
        <f ca="1">ROUNDUP(R19*8,0)</f>
        <v>28</v>
      </c>
      <c r="T19" s="30"/>
      <c r="U19" s="30"/>
      <c r="V19" s="30"/>
      <c r="W19" s="30"/>
      <c r="X19" s="30"/>
      <c r="Y19" s="30"/>
      <c r="Z19" s="30" t="s">
        <v>47</v>
      </c>
      <c r="AA19" s="30">
        <v>3600</v>
      </c>
      <c r="AB19" s="30">
        <v>3600</v>
      </c>
      <c r="AC19" s="30" t="s">
        <v>46</v>
      </c>
      <c r="AD19" s="33">
        <v>45082</v>
      </c>
      <c r="AE19" s="34"/>
      <c r="AF19" s="34"/>
    </row>
    <row r="20" spans="4:32">
      <c r="D20" s="151">
        <v>18</v>
      </c>
      <c r="E20" s="30" t="s">
        <v>80</v>
      </c>
      <c r="F20" s="31" t="s">
        <v>81</v>
      </c>
      <c r="G20" s="30" t="s">
        <v>85</v>
      </c>
      <c r="H20" s="44" t="str">
        <f>CONCATENATE(E20,"_",F20,"_",G20)</f>
        <v>A006_Kushal Patil_A05</v>
      </c>
      <c r="I20" s="30" t="s">
        <v>35</v>
      </c>
      <c r="J20" s="31" t="s">
        <v>86</v>
      </c>
      <c r="K20" s="30">
        <v>600</v>
      </c>
      <c r="L20" s="30">
        <v>600</v>
      </c>
      <c r="M20" s="32">
        <v>45141</v>
      </c>
      <c r="N20" s="32">
        <v>45141</v>
      </c>
      <c r="O20" s="32">
        <v>45139</v>
      </c>
      <c r="P20" s="30" t="s">
        <v>82</v>
      </c>
      <c r="Q20" s="36">
        <v>45229</v>
      </c>
      <c r="R20" s="74">
        <f ca="1">(IF(Q20="",(TODAY()-O20),(Q20-O20)))/30</f>
        <v>3</v>
      </c>
      <c r="S20" s="44">
        <f ca="1">ROUNDUP(R20*8,0)</f>
        <v>24</v>
      </c>
      <c r="T20" s="30" t="s">
        <v>87</v>
      </c>
      <c r="U20" s="30"/>
      <c r="V20" s="30"/>
      <c r="W20" s="30"/>
      <c r="X20" s="30"/>
      <c r="Y20" s="30"/>
      <c r="Z20" s="30" t="s">
        <v>47</v>
      </c>
      <c r="AA20" s="30">
        <v>3600</v>
      </c>
      <c r="AB20" s="30">
        <v>3600</v>
      </c>
      <c r="AC20" s="30" t="s">
        <v>46</v>
      </c>
      <c r="AD20" s="33">
        <v>45141</v>
      </c>
      <c r="AE20" s="34"/>
      <c r="AF20" s="34"/>
    </row>
    <row r="21" spans="4:32">
      <c r="D21" s="151">
        <v>19</v>
      </c>
      <c r="E21" s="30" t="s">
        <v>88</v>
      </c>
      <c r="F21" s="31" t="s">
        <v>89</v>
      </c>
      <c r="G21" s="30" t="s">
        <v>40</v>
      </c>
      <c r="H21" s="44" t="str">
        <f>CONCATENATE(E21,"_",F21,"_",G21)</f>
        <v>A007_Selene Kaur_A03</v>
      </c>
      <c r="I21" s="30" t="s">
        <v>35</v>
      </c>
      <c r="J21" s="31" t="s">
        <v>41</v>
      </c>
      <c r="K21" s="30">
        <v>1600</v>
      </c>
      <c r="L21" s="30">
        <v>1600</v>
      </c>
      <c r="M21" s="32">
        <v>44957</v>
      </c>
      <c r="N21" s="32">
        <v>44960</v>
      </c>
      <c r="O21" s="32">
        <v>44960</v>
      </c>
      <c r="P21" s="30" t="s">
        <v>90</v>
      </c>
      <c r="Q21" s="32">
        <v>45078</v>
      </c>
      <c r="R21" s="74">
        <f ca="1">(IF(Q21="",(TODAY()-O21),(Q21-O21)))/30</f>
        <v>3.9333333333333331</v>
      </c>
      <c r="S21" s="44">
        <f ca="1">ROUNDUP(R21*8,0)</f>
        <v>32</v>
      </c>
      <c r="T21" s="30"/>
      <c r="U21" s="30"/>
      <c r="V21" s="30"/>
      <c r="W21" s="30"/>
      <c r="X21" s="30"/>
      <c r="Y21" s="30"/>
      <c r="Z21" s="30" t="s">
        <v>47</v>
      </c>
      <c r="AA21" s="30">
        <v>3600</v>
      </c>
      <c r="AB21" s="30">
        <v>3600</v>
      </c>
      <c r="AC21" s="30" t="s">
        <v>46</v>
      </c>
      <c r="AD21" s="33">
        <v>45078</v>
      </c>
      <c r="AE21" s="34"/>
      <c r="AF21" s="34"/>
    </row>
    <row r="22" spans="4:32">
      <c r="D22" s="151">
        <v>20</v>
      </c>
      <c r="E22" s="30" t="s">
        <v>88</v>
      </c>
      <c r="F22" s="31" t="s">
        <v>89</v>
      </c>
      <c r="G22" s="30" t="s">
        <v>83</v>
      </c>
      <c r="H22" s="44" t="str">
        <f>CONCATENATE(E22,"_",F22,"_",G22)</f>
        <v>A007_Selene Kaur_A04</v>
      </c>
      <c r="I22" s="30" t="s">
        <v>35</v>
      </c>
      <c r="J22" s="31" t="s">
        <v>84</v>
      </c>
      <c r="K22" s="30">
        <v>400</v>
      </c>
      <c r="L22" s="30">
        <v>400</v>
      </c>
      <c r="M22" s="32">
        <v>45140</v>
      </c>
      <c r="N22" s="32">
        <v>45135</v>
      </c>
      <c r="O22" s="32">
        <v>45135</v>
      </c>
      <c r="P22" s="30" t="s">
        <v>90</v>
      </c>
      <c r="Q22" s="32">
        <v>45204</v>
      </c>
      <c r="R22" s="74">
        <f ca="1">(IF(Q22="",(TODAY()-O22),(Q22-O22)))/30</f>
        <v>2.2999999999999998</v>
      </c>
      <c r="S22" s="44">
        <f ca="1">ROUNDUP(R22*8,0)</f>
        <v>19</v>
      </c>
      <c r="T22" s="30"/>
      <c r="U22" s="30"/>
      <c r="V22" s="30"/>
      <c r="W22" s="30"/>
      <c r="X22" s="30"/>
      <c r="Y22" s="30"/>
      <c r="Z22" s="30" t="s">
        <v>47</v>
      </c>
      <c r="AA22" s="30">
        <v>3600</v>
      </c>
      <c r="AB22" s="30">
        <v>3600</v>
      </c>
      <c r="AC22" s="30" t="s">
        <v>46</v>
      </c>
      <c r="AD22" s="33">
        <v>45204</v>
      </c>
      <c r="AE22" s="34"/>
      <c r="AF22" s="34"/>
    </row>
    <row r="23" spans="4:32">
      <c r="D23" s="151">
        <v>21</v>
      </c>
      <c r="E23" s="30" t="s">
        <v>88</v>
      </c>
      <c r="F23" s="31" t="s">
        <v>89</v>
      </c>
      <c r="G23" s="30" t="s">
        <v>85</v>
      </c>
      <c r="H23" s="44" t="str">
        <f>CONCATENATE(E23,"_",F23,"_",G23)</f>
        <v>A007_Selene Kaur_A05</v>
      </c>
      <c r="I23" s="30" t="s">
        <v>35</v>
      </c>
      <c r="J23" s="31" t="s">
        <v>86</v>
      </c>
      <c r="K23" s="30">
        <v>400</v>
      </c>
      <c r="L23" s="30">
        <v>400</v>
      </c>
      <c r="M23" s="32">
        <v>45263</v>
      </c>
      <c r="N23" s="32">
        <v>45263</v>
      </c>
      <c r="O23" s="32">
        <v>45266</v>
      </c>
      <c r="P23" s="30" t="s">
        <v>90</v>
      </c>
      <c r="Q23" s="36">
        <v>45412</v>
      </c>
      <c r="R23" s="74">
        <f ca="1">(IF(Q23="",(TODAY()-O23),(Q23-O23)))/30</f>
        <v>4.8666666666666663</v>
      </c>
      <c r="S23" s="44">
        <f ca="1">ROUNDUP(R23*8,0)</f>
        <v>39</v>
      </c>
      <c r="T23" s="30" t="s">
        <v>87</v>
      </c>
      <c r="U23" s="30"/>
      <c r="V23" s="30"/>
      <c r="W23" s="30"/>
      <c r="X23" s="30"/>
      <c r="Y23" s="30"/>
      <c r="Z23" s="30" t="s">
        <v>47</v>
      </c>
      <c r="AA23" s="30">
        <v>3600</v>
      </c>
      <c r="AB23" s="30">
        <v>3600</v>
      </c>
      <c r="AC23" s="30" t="s">
        <v>46</v>
      </c>
      <c r="AD23" s="33">
        <v>45330</v>
      </c>
      <c r="AE23" s="34"/>
      <c r="AF23" s="34"/>
    </row>
    <row r="24" spans="4:32">
      <c r="D24" s="151">
        <v>22</v>
      </c>
      <c r="E24" s="30" t="s">
        <v>91</v>
      </c>
      <c r="F24" s="31" t="s">
        <v>92</v>
      </c>
      <c r="G24" s="30" t="s">
        <v>34</v>
      </c>
      <c r="H24" s="44" t="str">
        <f>CONCATENATE(E24,"_",F24,"_",G24)</f>
        <v>A008_Dighvi Nikumbh_A01</v>
      </c>
      <c r="I24" s="30" t="s">
        <v>35</v>
      </c>
      <c r="J24" s="31" t="s">
        <v>36</v>
      </c>
      <c r="K24" s="30">
        <v>1600</v>
      </c>
      <c r="L24" s="30">
        <v>1600</v>
      </c>
      <c r="M24" s="32">
        <v>44970</v>
      </c>
      <c r="N24" s="32">
        <v>44960</v>
      </c>
      <c r="O24" s="32">
        <v>44960</v>
      </c>
      <c r="P24" s="30" t="s">
        <v>90</v>
      </c>
      <c r="Q24" s="32">
        <v>45046</v>
      </c>
      <c r="R24" s="74">
        <f ca="1">(IF(Q24="",(TODAY()-O24),(Q24-O24)))/30</f>
        <v>2.8666666666666667</v>
      </c>
      <c r="S24" s="44">
        <f ca="1">ROUNDUP(R24*8,0)</f>
        <v>23</v>
      </c>
      <c r="T24" s="30"/>
      <c r="U24" s="30"/>
      <c r="V24" s="30"/>
      <c r="W24" s="30"/>
      <c r="X24" s="30"/>
      <c r="Y24" s="30"/>
      <c r="Z24" s="30" t="s">
        <v>47</v>
      </c>
      <c r="AA24" s="30">
        <v>3000</v>
      </c>
      <c r="AB24" s="30">
        <v>3000</v>
      </c>
      <c r="AC24" s="30" t="s">
        <v>46</v>
      </c>
      <c r="AD24" s="33">
        <v>45067</v>
      </c>
      <c r="AE24" s="34"/>
      <c r="AF24" s="34"/>
    </row>
    <row r="25" spans="4:32">
      <c r="D25" s="151">
        <v>23</v>
      </c>
      <c r="E25" s="30" t="s">
        <v>91</v>
      </c>
      <c r="F25" s="31" t="s">
        <v>92</v>
      </c>
      <c r="G25" s="30" t="s">
        <v>93</v>
      </c>
      <c r="H25" s="44" t="str">
        <f>CONCATENATE(E25,"_",F25,"_",G25)</f>
        <v>A008_Dighvi Nikumbh_A02</v>
      </c>
      <c r="I25" s="30" t="s">
        <v>35</v>
      </c>
      <c r="J25" s="31" t="s">
        <v>94</v>
      </c>
      <c r="K25" s="30">
        <v>400</v>
      </c>
      <c r="L25" s="30">
        <v>400</v>
      </c>
      <c r="M25" s="32">
        <v>45058</v>
      </c>
      <c r="N25" s="32">
        <v>45055</v>
      </c>
      <c r="O25" s="32">
        <v>45055</v>
      </c>
      <c r="P25" s="30" t="s">
        <v>90</v>
      </c>
      <c r="Q25" s="32">
        <v>45150</v>
      </c>
      <c r="R25" s="74">
        <f ca="1">(IF(Q25="",(TODAY()-O25),(Q25-O25)))/30</f>
        <v>3.1666666666666665</v>
      </c>
      <c r="S25" s="44">
        <f ca="1">ROUNDUP(R25*8,0)</f>
        <v>26</v>
      </c>
      <c r="T25" s="30"/>
      <c r="U25" s="30"/>
      <c r="V25" s="30"/>
      <c r="W25" s="30"/>
      <c r="X25" s="30"/>
      <c r="Y25" s="30"/>
      <c r="Z25" s="30" t="s">
        <v>47</v>
      </c>
      <c r="AA25" s="30">
        <v>3000</v>
      </c>
      <c r="AB25" s="30">
        <v>3000</v>
      </c>
      <c r="AC25" s="30" t="s">
        <v>46</v>
      </c>
      <c r="AD25" s="33">
        <v>45150</v>
      </c>
      <c r="AE25" s="34"/>
      <c r="AF25" s="34"/>
    </row>
    <row r="26" spans="4:32">
      <c r="D26" s="151">
        <v>24</v>
      </c>
      <c r="E26" s="30" t="s">
        <v>91</v>
      </c>
      <c r="F26" s="31" t="s">
        <v>92</v>
      </c>
      <c r="G26" s="30" t="s">
        <v>40</v>
      </c>
      <c r="H26" s="44" t="str">
        <f>CONCATENATE(E26,"_",F26,"_",G26)</f>
        <v>A008_Dighvi Nikumbh_A03</v>
      </c>
      <c r="I26" s="30" t="s">
        <v>35</v>
      </c>
      <c r="J26" s="31" t="s">
        <v>41</v>
      </c>
      <c r="K26" s="30">
        <v>400</v>
      </c>
      <c r="L26" s="30">
        <v>400</v>
      </c>
      <c r="M26" s="32">
        <v>45152</v>
      </c>
      <c r="N26" s="32">
        <v>45152</v>
      </c>
      <c r="O26" s="32">
        <v>45152</v>
      </c>
      <c r="P26" s="30" t="s">
        <v>52</v>
      </c>
      <c r="Q26" s="32">
        <v>45534</v>
      </c>
      <c r="R26" s="74">
        <f ca="1">(IF(Q26="",(TODAY()-O26),(Q26-O26)))/30</f>
        <v>12.733333333333333</v>
      </c>
      <c r="S26" s="44">
        <f ca="1">ROUNDUP(R26*8,0)</f>
        <v>102</v>
      </c>
      <c r="T26" s="30"/>
      <c r="U26" s="30"/>
      <c r="V26" s="50">
        <v>0.91</v>
      </c>
      <c r="W26" s="50"/>
      <c r="X26" s="50"/>
      <c r="Y26" s="50"/>
      <c r="Z26" s="30" t="s">
        <v>47</v>
      </c>
      <c r="AA26" s="30">
        <v>3600</v>
      </c>
      <c r="AB26" s="30">
        <v>3600</v>
      </c>
      <c r="AC26" s="30" t="s">
        <v>46</v>
      </c>
      <c r="AD26" s="33">
        <v>45250</v>
      </c>
      <c r="AE26" s="34"/>
      <c r="AF26" s="34"/>
    </row>
    <row r="27" spans="4:32">
      <c r="D27" s="151">
        <v>25</v>
      </c>
      <c r="E27" s="30" t="s">
        <v>95</v>
      </c>
      <c r="F27" s="31" t="s">
        <v>96</v>
      </c>
      <c r="G27" s="30" t="s">
        <v>40</v>
      </c>
      <c r="H27" s="44" t="str">
        <f>CONCATENATE(E27,"_",F27,"_",G27)</f>
        <v>A009_Saiansh Kumar_A03</v>
      </c>
      <c r="I27" s="30" t="s">
        <v>35</v>
      </c>
      <c r="J27" s="31" t="s">
        <v>41</v>
      </c>
      <c r="K27" s="30">
        <v>1600</v>
      </c>
      <c r="L27" s="30">
        <v>1600</v>
      </c>
      <c r="M27" s="32">
        <v>45003</v>
      </c>
      <c r="N27" s="32">
        <v>45002</v>
      </c>
      <c r="O27" s="32">
        <v>45002</v>
      </c>
      <c r="P27" s="30" t="s">
        <v>90</v>
      </c>
      <c r="Q27" s="36">
        <v>45219</v>
      </c>
      <c r="R27" s="74">
        <f ca="1">(IF(Q27="",(TODAY()-O27),(Q27-O27)))/30</f>
        <v>7.2333333333333334</v>
      </c>
      <c r="S27" s="44">
        <f ca="1">ROUNDUP(R27*8,0)</f>
        <v>58</v>
      </c>
      <c r="T27" s="30"/>
      <c r="U27" s="30"/>
      <c r="V27" s="30"/>
      <c r="W27" s="30"/>
      <c r="X27" s="30"/>
      <c r="Y27" s="30"/>
      <c r="Z27" s="30" t="s">
        <v>47</v>
      </c>
      <c r="AA27" s="30">
        <v>3600</v>
      </c>
      <c r="AB27" s="30">
        <v>3600</v>
      </c>
      <c r="AC27" s="30" t="s">
        <v>46</v>
      </c>
      <c r="AD27" s="33">
        <v>45110</v>
      </c>
      <c r="AE27" s="34"/>
      <c r="AF27" s="34"/>
    </row>
    <row r="28" spans="4:32">
      <c r="D28" s="151">
        <v>26</v>
      </c>
      <c r="E28" s="30" t="s">
        <v>95</v>
      </c>
      <c r="F28" s="31" t="s">
        <v>96</v>
      </c>
      <c r="G28" s="30" t="s">
        <v>83</v>
      </c>
      <c r="H28" s="44" t="str">
        <f>CONCATENATE(E28,"_",F28,"_",G28)</f>
        <v>A009_Saiansh Kumar_A04</v>
      </c>
      <c r="I28" s="30" t="s">
        <v>35</v>
      </c>
      <c r="J28" s="31" t="s">
        <v>84</v>
      </c>
      <c r="K28" s="30">
        <v>400</v>
      </c>
      <c r="L28" s="30">
        <v>400</v>
      </c>
      <c r="M28" s="32">
        <v>45221</v>
      </c>
      <c r="N28" s="30" t="s">
        <v>97</v>
      </c>
      <c r="O28" s="32">
        <v>45212</v>
      </c>
      <c r="P28" s="30" t="s">
        <v>90</v>
      </c>
      <c r="Q28" s="36">
        <v>45350</v>
      </c>
      <c r="R28" s="74">
        <f ca="1">(IF(Q28="",(TODAY()-O28),(Q28-O28)))/30</f>
        <v>4.5999999999999996</v>
      </c>
      <c r="S28" s="44">
        <f ca="1">ROUNDUP(R28*8,0)</f>
        <v>37</v>
      </c>
      <c r="T28" s="30"/>
      <c r="U28" s="30"/>
      <c r="V28" s="30"/>
      <c r="W28" s="30"/>
      <c r="X28" s="30"/>
      <c r="Y28" s="30"/>
      <c r="Z28" s="30" t="s">
        <v>47</v>
      </c>
      <c r="AA28" s="30">
        <v>3600</v>
      </c>
      <c r="AB28" s="30">
        <v>3600</v>
      </c>
      <c r="AC28" s="30" t="s">
        <v>46</v>
      </c>
      <c r="AD28" s="33">
        <v>45327</v>
      </c>
      <c r="AE28" s="34"/>
      <c r="AF28" s="34"/>
    </row>
    <row r="29" spans="4:32">
      <c r="D29" s="151">
        <v>27</v>
      </c>
      <c r="E29" s="21" t="s">
        <v>98</v>
      </c>
      <c r="F29" s="22" t="s">
        <v>99</v>
      </c>
      <c r="G29" s="21" t="s">
        <v>93</v>
      </c>
      <c r="H29" s="44" t="str">
        <f>CONCATENATE(E29,"_",F29,"_",G29)</f>
        <v>A010_Atharva Titave_A02</v>
      </c>
      <c r="I29" s="30" t="s">
        <v>35</v>
      </c>
      <c r="J29" s="31" t="s">
        <v>94</v>
      </c>
      <c r="K29" s="30">
        <v>1600</v>
      </c>
      <c r="L29" s="30">
        <v>1600</v>
      </c>
      <c r="M29" s="32">
        <v>45021</v>
      </c>
      <c r="N29" s="32">
        <v>45021</v>
      </c>
      <c r="O29" s="32">
        <v>45018</v>
      </c>
      <c r="P29" s="30" t="s">
        <v>100</v>
      </c>
      <c r="Q29" s="36">
        <v>45122</v>
      </c>
      <c r="R29" s="74">
        <f ca="1">(IF(Q29="",(TODAY()-O29),(Q29-O29)))/30</f>
        <v>3.4666666666666668</v>
      </c>
      <c r="S29" s="44">
        <f ca="1">ROUNDUP(R29*8,0)</f>
        <v>28</v>
      </c>
      <c r="T29" s="30"/>
      <c r="U29" s="30"/>
      <c r="V29" s="30"/>
      <c r="W29" s="30"/>
      <c r="X29" s="30"/>
      <c r="Y29" s="30"/>
      <c r="Z29" s="30" t="s">
        <v>47</v>
      </c>
      <c r="AA29" s="30">
        <v>3600</v>
      </c>
      <c r="AB29" s="30">
        <v>3600</v>
      </c>
      <c r="AC29" s="30" t="s">
        <v>46</v>
      </c>
      <c r="AD29" s="33">
        <v>45066</v>
      </c>
      <c r="AE29" s="34"/>
      <c r="AF29" s="34"/>
    </row>
    <row r="30" spans="4:32">
      <c r="D30" s="151">
        <v>28</v>
      </c>
      <c r="E30" s="21" t="s">
        <v>98</v>
      </c>
      <c r="F30" s="22" t="s">
        <v>99</v>
      </c>
      <c r="G30" s="21" t="s">
        <v>40</v>
      </c>
      <c r="H30" s="44" t="str">
        <f>CONCATENATE(E30,"_",F30,"_",G30)</f>
        <v>A010_Atharva Titave_A03</v>
      </c>
      <c r="I30" s="30" t="s">
        <v>35</v>
      </c>
      <c r="J30" s="31" t="s">
        <v>41</v>
      </c>
      <c r="K30" s="30">
        <v>400</v>
      </c>
      <c r="L30" s="30">
        <v>400</v>
      </c>
      <c r="M30" s="32">
        <v>45123</v>
      </c>
      <c r="N30" s="32">
        <v>45123</v>
      </c>
      <c r="O30" s="32">
        <v>45121</v>
      </c>
      <c r="P30" s="30" t="s">
        <v>100</v>
      </c>
      <c r="Q30" s="36">
        <v>45342</v>
      </c>
      <c r="R30" s="74">
        <f ca="1">(IF(Q30="",(TODAY()-O30),(Q30-O30)))/30</f>
        <v>7.3666666666666663</v>
      </c>
      <c r="S30" s="44">
        <f ca="1">ROUNDUP(R30*8,0)</f>
        <v>59</v>
      </c>
      <c r="T30" s="30"/>
      <c r="U30" s="30"/>
      <c r="V30" s="30"/>
      <c r="W30" s="30"/>
      <c r="X30" s="30"/>
      <c r="Y30" s="30"/>
      <c r="Z30" s="30" t="s">
        <v>47</v>
      </c>
      <c r="AA30" s="30">
        <v>3600</v>
      </c>
      <c r="AB30" s="30">
        <v>3600</v>
      </c>
      <c r="AC30" s="30" t="s">
        <v>46</v>
      </c>
      <c r="AD30" s="33">
        <v>45199</v>
      </c>
      <c r="AE30" s="34"/>
      <c r="AF30" s="34"/>
    </row>
    <row r="31" spans="4:32">
      <c r="D31" s="151">
        <v>29</v>
      </c>
      <c r="E31" s="21" t="s">
        <v>98</v>
      </c>
      <c r="F31" s="22" t="s">
        <v>99</v>
      </c>
      <c r="G31" s="21" t="s">
        <v>83</v>
      </c>
      <c r="H31" s="44" t="str">
        <f>CONCATENATE(E31,"_",F31,"_",G31)</f>
        <v>A010_Atharva Titave_A04</v>
      </c>
      <c r="I31" s="30" t="s">
        <v>35</v>
      </c>
      <c r="J31" s="31" t="s">
        <v>84</v>
      </c>
      <c r="K31" s="30">
        <v>400</v>
      </c>
      <c r="L31" s="30">
        <v>400</v>
      </c>
      <c r="M31" s="32">
        <v>45352</v>
      </c>
      <c r="N31" s="32">
        <v>45352</v>
      </c>
      <c r="O31" s="32">
        <v>45360</v>
      </c>
      <c r="P31" s="30" t="s">
        <v>100</v>
      </c>
      <c r="Q31" s="23">
        <v>45501</v>
      </c>
      <c r="R31" s="74">
        <f ca="1">(IF(Q31="",(TODAY()-O31),(Q31-O31)))/30</f>
        <v>4.7</v>
      </c>
      <c r="S31" s="44">
        <f ca="1">ROUNDUP(R31*8,0)</f>
        <v>38</v>
      </c>
      <c r="T31" s="32">
        <v>45493</v>
      </c>
      <c r="U31" s="32">
        <v>45501</v>
      </c>
      <c r="V31" s="50">
        <v>0.83</v>
      </c>
      <c r="W31" s="50"/>
      <c r="X31" s="50"/>
      <c r="Y31" s="50"/>
      <c r="Z31" s="30" t="s">
        <v>47</v>
      </c>
      <c r="AA31" s="30">
        <v>3600</v>
      </c>
      <c r="AB31" s="30">
        <v>3600</v>
      </c>
      <c r="AC31" s="30" t="s">
        <v>46</v>
      </c>
      <c r="AD31" s="33">
        <v>45442</v>
      </c>
      <c r="AE31" s="34">
        <v>5</v>
      </c>
      <c r="AF31" s="34"/>
    </row>
    <row r="32" spans="4:32">
      <c r="D32" s="151">
        <v>30</v>
      </c>
      <c r="E32" s="21" t="s">
        <v>98</v>
      </c>
      <c r="F32" s="22" t="s">
        <v>99</v>
      </c>
      <c r="G32" s="21" t="s">
        <v>85</v>
      </c>
      <c r="H32" s="44" t="str">
        <f>CONCATENATE(E32,"_",F32,"_",G32)</f>
        <v>A010_Atharva Titave_A05</v>
      </c>
      <c r="I32" s="21" t="s">
        <v>35</v>
      </c>
      <c r="J32" s="22" t="s">
        <v>86</v>
      </c>
      <c r="K32" s="21">
        <v>400</v>
      </c>
      <c r="L32" s="21">
        <v>400</v>
      </c>
      <c r="M32" s="23">
        <v>45553</v>
      </c>
      <c r="N32" s="23">
        <v>45501</v>
      </c>
      <c r="O32" s="23">
        <v>45501</v>
      </c>
      <c r="P32" s="21" t="s">
        <v>100</v>
      </c>
      <c r="Q32" s="23">
        <v>45724</v>
      </c>
      <c r="R32" s="74">
        <f ca="1">(IF(Q32="",(TODAY()-O32),(Q32-O32)))/30</f>
        <v>7.4333333333333336</v>
      </c>
      <c r="S32" s="44">
        <f ca="1">ROUNDUP(R32*8,0)</f>
        <v>60</v>
      </c>
      <c r="T32" s="23">
        <v>45724</v>
      </c>
      <c r="U32" s="23">
        <v>45724</v>
      </c>
      <c r="V32" s="24">
        <v>0.95</v>
      </c>
      <c r="W32" s="24" t="s">
        <v>68</v>
      </c>
      <c r="X32" s="24"/>
      <c r="Y32" s="24" t="s">
        <v>46</v>
      </c>
      <c r="Z32" s="21" t="s">
        <v>47</v>
      </c>
      <c r="AA32" s="21">
        <v>3600</v>
      </c>
      <c r="AB32" s="21">
        <v>3600</v>
      </c>
      <c r="AC32" s="21" t="s">
        <v>61</v>
      </c>
      <c r="AD32" s="2">
        <v>45553</v>
      </c>
      <c r="AE32" s="1"/>
      <c r="AF32" s="1"/>
    </row>
    <row r="33" spans="1:33">
      <c r="A33" s="10" t="s">
        <v>101</v>
      </c>
      <c r="B33" s="10" t="s">
        <v>63</v>
      </c>
      <c r="D33" s="151">
        <v>31</v>
      </c>
      <c r="E33" s="21" t="s">
        <v>98</v>
      </c>
      <c r="F33" s="22" t="s">
        <v>99</v>
      </c>
      <c r="G33" s="21" t="s">
        <v>102</v>
      </c>
      <c r="H33" s="44" t="str">
        <f>CONCATENATE(E33,"_",F33,"_",G33)</f>
        <v>A010_Atharva Titave_A06</v>
      </c>
      <c r="I33" s="21" t="s">
        <v>65</v>
      </c>
      <c r="J33" s="22" t="s">
        <v>103</v>
      </c>
      <c r="K33" s="21">
        <v>400</v>
      </c>
      <c r="L33" s="21">
        <v>400</v>
      </c>
      <c r="M33" s="23">
        <v>45729</v>
      </c>
      <c r="N33" s="23">
        <v>45752</v>
      </c>
      <c r="O33" s="23">
        <v>45752</v>
      </c>
      <c r="P33" s="21" t="s">
        <v>100</v>
      </c>
      <c r="Q33" s="23"/>
      <c r="R33" s="74"/>
      <c r="S33" s="44"/>
      <c r="T33" s="23"/>
      <c r="U33" s="23"/>
      <c r="V33" s="24"/>
      <c r="W33" s="24"/>
      <c r="X33" s="24"/>
      <c r="Y33" s="24"/>
      <c r="Z33" s="21" t="s">
        <v>47</v>
      </c>
      <c r="AA33" s="21">
        <v>3600</v>
      </c>
      <c r="AB33" s="21"/>
      <c r="AC33" s="21"/>
      <c r="AD33" s="2"/>
      <c r="AE33" s="1"/>
      <c r="AF33" s="1"/>
    </row>
    <row r="34" spans="1:33">
      <c r="D34" s="151">
        <v>32</v>
      </c>
      <c r="E34" s="30" t="s">
        <v>104</v>
      </c>
      <c r="F34" s="31" t="s">
        <v>105</v>
      </c>
      <c r="G34" s="30" t="s">
        <v>40</v>
      </c>
      <c r="H34" s="44" t="str">
        <f>CONCATENATE(E34,"_",F34,"_",G34)</f>
        <v>A011_Shresth Deb_A03</v>
      </c>
      <c r="I34" s="30" t="s">
        <v>35</v>
      </c>
      <c r="J34" s="31" t="s">
        <v>41</v>
      </c>
      <c r="K34" s="30">
        <v>1600</v>
      </c>
      <c r="L34" s="30">
        <v>1600</v>
      </c>
      <c r="M34" s="32">
        <v>45020</v>
      </c>
      <c r="N34" s="32">
        <v>45020</v>
      </c>
      <c r="O34" s="32">
        <v>45020</v>
      </c>
      <c r="P34" s="30" t="s">
        <v>52</v>
      </c>
      <c r="Q34" s="36">
        <v>45128</v>
      </c>
      <c r="R34" s="74">
        <f ca="1">(IF(Q34="",(TODAY()-O34),(Q34-O34)))/30</f>
        <v>3.6</v>
      </c>
      <c r="S34" s="44">
        <f ca="1">ROUNDUP(R34*8,0)</f>
        <v>29</v>
      </c>
      <c r="T34" s="30"/>
      <c r="U34" s="30"/>
      <c r="V34" s="30"/>
      <c r="W34" s="30"/>
      <c r="X34" s="30"/>
      <c r="Y34" s="30"/>
      <c r="Z34" s="30" t="s">
        <v>106</v>
      </c>
      <c r="AA34" s="30">
        <v>4800</v>
      </c>
      <c r="AB34" s="30">
        <v>4800</v>
      </c>
      <c r="AC34" s="30" t="s">
        <v>46</v>
      </c>
      <c r="AD34" s="33">
        <v>45113</v>
      </c>
      <c r="AE34" s="34"/>
      <c r="AF34" s="34"/>
    </row>
    <row r="35" spans="1:33">
      <c r="D35" s="151">
        <v>33</v>
      </c>
      <c r="E35" s="30" t="s">
        <v>104</v>
      </c>
      <c r="F35" s="31" t="s">
        <v>105</v>
      </c>
      <c r="G35" s="30" t="s">
        <v>83</v>
      </c>
      <c r="H35" s="44" t="str">
        <f>CONCATENATE(E35,"_",F35,"_",G35)</f>
        <v>A011_Shresth Deb_A04</v>
      </c>
      <c r="I35" s="30" t="s">
        <v>35</v>
      </c>
      <c r="J35" s="31" t="s">
        <v>84</v>
      </c>
      <c r="K35" s="30">
        <v>400</v>
      </c>
      <c r="L35" s="30">
        <v>400</v>
      </c>
      <c r="M35" s="32">
        <v>45135</v>
      </c>
      <c r="N35" s="32">
        <v>45135</v>
      </c>
      <c r="O35" s="32">
        <v>45124</v>
      </c>
      <c r="P35" s="30" t="s">
        <v>52</v>
      </c>
      <c r="Q35" s="36">
        <v>45200</v>
      </c>
      <c r="R35" s="74">
        <f ca="1">(IF(Q35="",(TODAY()-O35),(Q35-O35)))/30</f>
        <v>2.5333333333333332</v>
      </c>
      <c r="S35" s="44">
        <f ca="1">ROUNDUP(R35*8,0)</f>
        <v>21</v>
      </c>
      <c r="T35" s="30"/>
      <c r="U35" s="30"/>
      <c r="V35" s="30"/>
      <c r="W35" s="30"/>
      <c r="X35" s="30"/>
      <c r="Y35" s="30"/>
      <c r="Z35" s="30" t="s">
        <v>106</v>
      </c>
      <c r="AA35" s="30">
        <v>3600</v>
      </c>
      <c r="AB35" s="30">
        <v>3600</v>
      </c>
      <c r="AC35" s="30" t="s">
        <v>46</v>
      </c>
      <c r="AD35" s="33">
        <v>45201</v>
      </c>
      <c r="AE35" s="34"/>
      <c r="AF35" s="34"/>
    </row>
    <row r="36" spans="1:33">
      <c r="D36" s="151">
        <v>34</v>
      </c>
      <c r="E36" s="30" t="s">
        <v>104</v>
      </c>
      <c r="F36" s="31" t="s">
        <v>105</v>
      </c>
      <c r="G36" s="30" t="s">
        <v>85</v>
      </c>
      <c r="H36" s="44" t="str">
        <f>CONCATENATE(E36,"_",F36,"_",G36)</f>
        <v>A011_Shresth Deb_A05</v>
      </c>
      <c r="I36" s="30" t="s">
        <v>35</v>
      </c>
      <c r="J36" s="31" t="s">
        <v>86</v>
      </c>
      <c r="K36" s="30">
        <v>400</v>
      </c>
      <c r="L36" s="30">
        <v>400</v>
      </c>
      <c r="M36" s="32">
        <v>45208</v>
      </c>
      <c r="N36" s="32">
        <v>45205</v>
      </c>
      <c r="O36" s="32">
        <v>45205</v>
      </c>
      <c r="P36" s="30" t="s">
        <v>52</v>
      </c>
      <c r="Q36" s="32">
        <v>45327</v>
      </c>
      <c r="R36" s="74">
        <f ca="1">(IF(Q36="",(TODAY()-O36),(Q36-O36)))/30</f>
        <v>4.0666666666666664</v>
      </c>
      <c r="S36" s="44">
        <f ca="1">ROUNDUP(R36*8,0)</f>
        <v>33</v>
      </c>
      <c r="T36" s="30"/>
      <c r="U36" s="30"/>
      <c r="V36" s="30"/>
      <c r="W36" s="30"/>
      <c r="X36" s="30"/>
      <c r="Y36" s="30"/>
      <c r="Z36" s="30" t="s">
        <v>106</v>
      </c>
      <c r="AA36" s="30">
        <v>4800</v>
      </c>
      <c r="AB36" s="30">
        <v>4800</v>
      </c>
      <c r="AC36" s="30" t="s">
        <v>46</v>
      </c>
      <c r="AD36" s="33">
        <v>45327</v>
      </c>
      <c r="AE36" s="34"/>
      <c r="AF36" s="34"/>
    </row>
    <row r="37" spans="1:33" s="96" customFormat="1">
      <c r="A37" s="95"/>
      <c r="B37" s="95"/>
      <c r="C37" s="95"/>
      <c r="D37" s="151">
        <v>35</v>
      </c>
      <c r="E37" s="44" t="s">
        <v>104</v>
      </c>
      <c r="F37" s="45" t="s">
        <v>105</v>
      </c>
      <c r="G37" s="44" t="s">
        <v>102</v>
      </c>
      <c r="H37" s="44" t="str">
        <f>CONCATENATE(E37,"_",F37,"_",G37)</f>
        <v>A011_Shresth Deb_A06</v>
      </c>
      <c r="I37" s="30" t="s">
        <v>35</v>
      </c>
      <c r="J37" s="45" t="s">
        <v>103</v>
      </c>
      <c r="K37" s="44">
        <v>400</v>
      </c>
      <c r="L37" s="44">
        <v>400</v>
      </c>
      <c r="M37" s="35">
        <v>45362</v>
      </c>
      <c r="N37" s="35">
        <v>45352</v>
      </c>
      <c r="O37" s="35">
        <v>45352</v>
      </c>
      <c r="P37" s="44" t="s">
        <v>52</v>
      </c>
      <c r="Q37" s="125">
        <v>45831</v>
      </c>
      <c r="R37" s="74">
        <f ca="1">(IF(Q37="",(TODAY()-O37),(Q37-O37)))/30</f>
        <v>15.966666666666667</v>
      </c>
      <c r="S37" s="44">
        <f ca="1">ROUNDUP(R37*8,0)</f>
        <v>128</v>
      </c>
      <c r="T37" s="44"/>
      <c r="U37" s="44"/>
      <c r="V37" s="44"/>
      <c r="W37" s="44"/>
      <c r="X37" s="44"/>
      <c r="Y37" s="44"/>
      <c r="Z37" s="44" t="s">
        <v>106</v>
      </c>
      <c r="AA37" s="44">
        <v>5400</v>
      </c>
      <c r="AB37" s="44">
        <v>5400</v>
      </c>
      <c r="AC37" s="44" t="s">
        <v>107</v>
      </c>
      <c r="AD37" s="54">
        <v>45478</v>
      </c>
      <c r="AE37" s="47">
        <v>5</v>
      </c>
      <c r="AF37" s="47"/>
    </row>
    <row r="38" spans="1:33" s="96" customFormat="1">
      <c r="A38" s="95"/>
      <c r="B38" s="95" t="s">
        <v>107</v>
      </c>
      <c r="C38" s="95"/>
      <c r="D38" s="151">
        <v>36</v>
      </c>
      <c r="E38" s="44" t="s">
        <v>104</v>
      </c>
      <c r="F38" s="45" t="s">
        <v>105</v>
      </c>
      <c r="G38" s="44" t="s">
        <v>108</v>
      </c>
      <c r="H38" s="44" t="str">
        <f>CONCATENATE(E38,"_",F38,"_",G38)</f>
        <v>A011_Shresth Deb_A07</v>
      </c>
      <c r="I38" s="21" t="s">
        <v>65</v>
      </c>
      <c r="J38" s="45" t="s">
        <v>109</v>
      </c>
      <c r="K38" s="44">
        <v>400</v>
      </c>
      <c r="L38" s="44">
        <v>400</v>
      </c>
      <c r="M38" s="35">
        <v>45831</v>
      </c>
      <c r="N38" s="35">
        <v>45831</v>
      </c>
      <c r="O38" s="35">
        <v>45831</v>
      </c>
      <c r="P38" s="44"/>
      <c r="Q38" s="44"/>
      <c r="R38" s="74"/>
      <c r="S38" s="44"/>
      <c r="T38" s="44"/>
      <c r="U38" s="44"/>
      <c r="V38" s="44"/>
      <c r="W38" s="44"/>
      <c r="X38" s="44"/>
      <c r="Y38" s="44"/>
      <c r="Z38" s="44" t="s">
        <v>106</v>
      </c>
      <c r="AA38" s="44">
        <v>3600</v>
      </c>
      <c r="AB38" s="44">
        <v>4800</v>
      </c>
      <c r="AC38" s="44" t="s">
        <v>110</v>
      </c>
      <c r="AD38" s="54">
        <v>45933</v>
      </c>
      <c r="AE38" s="47">
        <v>4</v>
      </c>
      <c r="AF38" s="47" t="s">
        <v>111</v>
      </c>
    </row>
    <row r="39" spans="1:33">
      <c r="D39" s="151">
        <v>37</v>
      </c>
      <c r="E39" s="30" t="s">
        <v>112</v>
      </c>
      <c r="F39" s="31" t="s">
        <v>113</v>
      </c>
      <c r="G39" s="30" t="s">
        <v>93</v>
      </c>
      <c r="H39" s="44" t="str">
        <f>CONCATENATE(E39,"_",F39,"_",G39)</f>
        <v>A012_Swara Patil_A02</v>
      </c>
      <c r="I39" s="30" t="s">
        <v>35</v>
      </c>
      <c r="J39" s="31" t="s">
        <v>94</v>
      </c>
      <c r="K39" s="30">
        <v>1600</v>
      </c>
      <c r="L39" s="30">
        <v>1600</v>
      </c>
      <c r="M39" s="32">
        <v>45026</v>
      </c>
      <c r="N39" s="32">
        <v>45026</v>
      </c>
      <c r="O39" s="32">
        <v>45026</v>
      </c>
      <c r="P39" s="21" t="s">
        <v>100</v>
      </c>
      <c r="Q39" s="32">
        <v>45073</v>
      </c>
      <c r="R39" s="74">
        <f ca="1">(IF(Q39="",(TODAY()-O39),(Q39-O39)))/30</f>
        <v>1.5666666666666667</v>
      </c>
      <c r="S39" s="44">
        <f ca="1">ROUNDUP(R39*8,0)</f>
        <v>13</v>
      </c>
      <c r="T39" s="30"/>
      <c r="U39" s="30"/>
      <c r="V39" s="30"/>
      <c r="W39" s="30"/>
      <c r="X39" s="30"/>
      <c r="Y39" s="30"/>
      <c r="Z39" s="30" t="s">
        <v>47</v>
      </c>
      <c r="AA39" s="30">
        <v>3600</v>
      </c>
      <c r="AB39" s="30">
        <v>3600</v>
      </c>
      <c r="AC39" s="30" t="s">
        <v>46</v>
      </c>
      <c r="AD39" s="33">
        <v>45073</v>
      </c>
      <c r="AE39" s="34"/>
      <c r="AF39" s="34"/>
    </row>
    <row r="40" spans="1:33">
      <c r="D40" s="151">
        <v>38</v>
      </c>
      <c r="E40" s="30" t="s">
        <v>112</v>
      </c>
      <c r="F40" s="31" t="s">
        <v>113</v>
      </c>
      <c r="G40" s="30" t="s">
        <v>40</v>
      </c>
      <c r="H40" s="44" t="str">
        <f>CONCATENATE(E40,"_",F40,"_",G40)</f>
        <v>A012_Swara Patil_A03</v>
      </c>
      <c r="I40" s="30" t="s">
        <v>114</v>
      </c>
      <c r="J40" s="31" t="s">
        <v>41</v>
      </c>
      <c r="K40" s="30">
        <v>400</v>
      </c>
      <c r="L40" s="30">
        <v>400</v>
      </c>
      <c r="M40" s="32">
        <v>45152</v>
      </c>
      <c r="N40" s="32">
        <v>45152</v>
      </c>
      <c r="O40" s="32">
        <v>45152</v>
      </c>
      <c r="P40" s="21" t="s">
        <v>100</v>
      </c>
      <c r="Q40" s="30"/>
      <c r="R40" s="74">
        <f ca="1">(IF(Q40="",(TODAY()-O40),(Q40-O40)))/30</f>
        <v>27.8</v>
      </c>
      <c r="S40" s="44">
        <f ca="1">ROUNDUP(R40*8,0)</f>
        <v>223</v>
      </c>
      <c r="T40" s="30"/>
      <c r="U40" s="30"/>
      <c r="V40" s="30"/>
      <c r="W40" s="30"/>
      <c r="X40" s="30"/>
      <c r="Y40" s="30"/>
      <c r="Z40" s="30" t="s">
        <v>47</v>
      </c>
      <c r="AA40" s="30">
        <v>3600</v>
      </c>
      <c r="AB40" s="30">
        <v>3600</v>
      </c>
      <c r="AC40" s="30" t="s">
        <v>46</v>
      </c>
      <c r="AD40" s="33">
        <v>45152</v>
      </c>
      <c r="AE40" s="34"/>
      <c r="AF40" s="34"/>
    </row>
    <row r="41" spans="1:33">
      <c r="D41" s="151">
        <v>39</v>
      </c>
      <c r="E41" s="30" t="s">
        <v>115</v>
      </c>
      <c r="F41" s="31" t="s">
        <v>116</v>
      </c>
      <c r="G41" s="30" t="s">
        <v>75</v>
      </c>
      <c r="H41" s="44" t="str">
        <f>CONCATENATE(E41,"_",F41,"_",G41)</f>
        <v>A013_Shlesh Nemade_V01</v>
      </c>
      <c r="I41" s="30" t="s">
        <v>35</v>
      </c>
      <c r="J41" s="31" t="s">
        <v>76</v>
      </c>
      <c r="K41" s="30">
        <v>0</v>
      </c>
      <c r="L41" s="30">
        <v>0</v>
      </c>
      <c r="M41" s="32">
        <v>45027</v>
      </c>
      <c r="N41" s="32">
        <v>45027</v>
      </c>
      <c r="O41" s="32">
        <v>45027</v>
      </c>
      <c r="P41" s="30" t="s">
        <v>117</v>
      </c>
      <c r="Q41" s="32">
        <v>45058</v>
      </c>
      <c r="R41" s="74">
        <f ca="1">(IF(Q41="",(TODAY()-O41),(Q41-O41)))/30</f>
        <v>1.0333333333333334</v>
      </c>
      <c r="S41" s="44">
        <f ca="1">ROUNDUP(R41*8,0)</f>
        <v>9</v>
      </c>
      <c r="T41" s="30"/>
      <c r="U41" s="30"/>
      <c r="V41" s="30"/>
      <c r="W41" s="30"/>
      <c r="X41" s="30"/>
      <c r="Y41" s="30"/>
      <c r="Z41" s="30" t="s">
        <v>47</v>
      </c>
      <c r="AA41" s="30">
        <v>5000</v>
      </c>
      <c r="AB41" s="30">
        <v>5000</v>
      </c>
      <c r="AC41" s="30" t="s">
        <v>46</v>
      </c>
      <c r="AD41" s="33">
        <v>45058</v>
      </c>
      <c r="AE41" s="34"/>
      <c r="AF41" s="34"/>
    </row>
    <row r="42" spans="1:33">
      <c r="D42" s="151">
        <v>40</v>
      </c>
      <c r="E42" s="25" t="s">
        <v>118</v>
      </c>
      <c r="F42" s="26" t="s">
        <v>119</v>
      </c>
      <c r="G42" s="25" t="s">
        <v>34</v>
      </c>
      <c r="H42" s="44" t="str">
        <f>CONCATENATE(E42,"_",F42,"_",G42)</f>
        <v>A014_Riyansh Dalvi_A01</v>
      </c>
      <c r="I42" s="30" t="s">
        <v>35</v>
      </c>
      <c r="J42" s="26" t="s">
        <v>36</v>
      </c>
      <c r="K42" s="25">
        <v>1600</v>
      </c>
      <c r="L42" s="25">
        <v>1600</v>
      </c>
      <c r="M42" s="27">
        <v>45028</v>
      </c>
      <c r="N42" s="27">
        <v>45028</v>
      </c>
      <c r="O42" s="27">
        <v>45028</v>
      </c>
      <c r="P42" s="25" t="s">
        <v>90</v>
      </c>
      <c r="Q42" s="36">
        <v>45137</v>
      </c>
      <c r="R42" s="74">
        <f ca="1">(IF(Q42="",(TODAY()-O42),(Q42-O42)))/30</f>
        <v>3.6333333333333333</v>
      </c>
      <c r="S42" s="44">
        <f ca="1">ROUNDUP(R42*8,0)</f>
        <v>30</v>
      </c>
      <c r="T42" s="25" t="s">
        <v>120</v>
      </c>
      <c r="U42" s="25"/>
      <c r="V42" s="25"/>
      <c r="W42" s="25"/>
      <c r="X42" s="25"/>
      <c r="Y42" s="25"/>
      <c r="Z42" s="25" t="s">
        <v>47</v>
      </c>
      <c r="AA42" s="25">
        <v>3600</v>
      </c>
      <c r="AB42" s="25">
        <v>3600</v>
      </c>
      <c r="AC42" s="27">
        <v>45028</v>
      </c>
      <c r="AD42" s="29"/>
      <c r="AE42" s="29"/>
      <c r="AF42" s="29"/>
    </row>
    <row r="43" spans="1:33">
      <c r="D43" s="151">
        <v>41</v>
      </c>
      <c r="E43" s="25" t="s">
        <v>121</v>
      </c>
      <c r="F43" s="26" t="s">
        <v>122</v>
      </c>
      <c r="G43" s="25" t="s">
        <v>40</v>
      </c>
      <c r="H43" s="44" t="str">
        <f>CONCATENATE(E43,"_",F43,"_",G43)</f>
        <v>A015_Ishan Prasad_A03</v>
      </c>
      <c r="I43" s="30" t="s">
        <v>35</v>
      </c>
      <c r="J43" s="26" t="s">
        <v>41</v>
      </c>
      <c r="K43" s="25">
        <v>400</v>
      </c>
      <c r="L43" s="25">
        <v>400</v>
      </c>
      <c r="M43" s="27">
        <v>45121</v>
      </c>
      <c r="N43" s="27">
        <v>45121</v>
      </c>
      <c r="O43" s="27">
        <v>45117</v>
      </c>
      <c r="P43" s="25" t="s">
        <v>52</v>
      </c>
      <c r="Q43" s="36">
        <v>45298</v>
      </c>
      <c r="R43" s="74">
        <f ca="1">(IF(Q43="",(TODAY()-O43),(Q43-O43)))/30</f>
        <v>6.0333333333333332</v>
      </c>
      <c r="S43" s="44">
        <f ca="1">ROUNDUP(R43*8,0)</f>
        <v>49</v>
      </c>
      <c r="T43" s="25"/>
      <c r="U43" s="25"/>
      <c r="V43" s="25"/>
      <c r="W43" s="25"/>
      <c r="X43" s="25"/>
      <c r="Y43" s="25"/>
      <c r="Z43" s="25" t="s">
        <v>38</v>
      </c>
      <c r="AA43" s="25">
        <v>3600</v>
      </c>
      <c r="AB43" s="25">
        <v>0</v>
      </c>
      <c r="AC43" s="25" t="s">
        <v>39</v>
      </c>
      <c r="AD43" s="29"/>
      <c r="AE43" s="29"/>
      <c r="AF43" s="29"/>
      <c r="AG43" s="53"/>
    </row>
    <row r="44" spans="1:33">
      <c r="D44" s="151">
        <v>42</v>
      </c>
      <c r="E44" s="25" t="s">
        <v>121</v>
      </c>
      <c r="F44" s="26" t="s">
        <v>122</v>
      </c>
      <c r="G44" s="25" t="s">
        <v>83</v>
      </c>
      <c r="H44" s="44" t="str">
        <f>CONCATENATE(E44,"_",F44,"_",G44)</f>
        <v>A015_Ishan Prasad_A04</v>
      </c>
      <c r="I44" s="30" t="s">
        <v>35</v>
      </c>
      <c r="J44" s="26" t="s">
        <v>84</v>
      </c>
      <c r="K44" s="25">
        <v>400</v>
      </c>
      <c r="L44" s="25">
        <v>400</v>
      </c>
      <c r="M44" s="27">
        <v>45305</v>
      </c>
      <c r="N44" s="27">
        <v>45305</v>
      </c>
      <c r="O44" s="27">
        <v>45306</v>
      </c>
      <c r="P44" s="25" t="s">
        <v>52</v>
      </c>
      <c r="Q44" s="36">
        <v>45421</v>
      </c>
      <c r="R44" s="74">
        <f ca="1">(IF(Q44="",(TODAY()-O44),(Q44-O44)))/30</f>
        <v>3.8333333333333335</v>
      </c>
      <c r="S44" s="44">
        <f ca="1">ROUNDUP(R44*8,0)</f>
        <v>31</v>
      </c>
      <c r="T44" s="25"/>
      <c r="U44" s="25"/>
      <c r="V44" s="25"/>
      <c r="W44" s="25"/>
      <c r="X44" s="25"/>
      <c r="Y44" s="25"/>
      <c r="Z44" s="25" t="s">
        <v>106</v>
      </c>
      <c r="AA44" s="25">
        <v>3600</v>
      </c>
      <c r="AB44" s="25">
        <v>3600</v>
      </c>
      <c r="AC44" s="25" t="s">
        <v>46</v>
      </c>
      <c r="AD44" s="38">
        <v>45414</v>
      </c>
      <c r="AE44" s="29"/>
      <c r="AF44" s="29"/>
      <c r="AG44" s="53"/>
    </row>
    <row r="45" spans="1:33">
      <c r="D45" s="151">
        <v>43</v>
      </c>
      <c r="E45" s="25" t="s">
        <v>121</v>
      </c>
      <c r="F45" s="26" t="s">
        <v>122</v>
      </c>
      <c r="G45" s="25" t="s">
        <v>85</v>
      </c>
      <c r="H45" s="44" t="str">
        <f>CONCATENATE(E45,"_",F45,"_",G45)</f>
        <v>A015_Ishan Prasad_A05</v>
      </c>
      <c r="I45" s="30" t="s">
        <v>114</v>
      </c>
      <c r="J45" s="26" t="s">
        <v>86</v>
      </c>
      <c r="K45" s="25">
        <v>400</v>
      </c>
      <c r="L45" s="25">
        <v>400</v>
      </c>
      <c r="M45" s="27">
        <v>45428</v>
      </c>
      <c r="N45" s="27">
        <v>45419</v>
      </c>
      <c r="O45" s="27">
        <v>45419</v>
      </c>
      <c r="P45" s="25" t="s">
        <v>77</v>
      </c>
      <c r="Q45" s="25"/>
      <c r="R45" s="74">
        <f ca="1">(IF(Q45="",(TODAY()-O45),(Q45-O45)))/30</f>
        <v>18.899999999999999</v>
      </c>
      <c r="S45" s="44">
        <f ca="1">ROUNDUP(R45*8,0)</f>
        <v>152</v>
      </c>
      <c r="T45" s="25"/>
      <c r="U45" s="25"/>
      <c r="V45" s="25"/>
      <c r="W45" s="25"/>
      <c r="X45" s="25"/>
      <c r="Y45" s="25"/>
      <c r="Z45" s="25" t="s">
        <v>106</v>
      </c>
      <c r="AA45" s="25">
        <v>3600</v>
      </c>
      <c r="AB45" s="25">
        <v>3600</v>
      </c>
      <c r="AC45" s="25" t="s">
        <v>107</v>
      </c>
      <c r="AD45" s="38">
        <v>45545</v>
      </c>
      <c r="AE45" s="29"/>
      <c r="AF45" s="29" t="s">
        <v>123</v>
      </c>
      <c r="AG45" s="53"/>
    </row>
    <row r="46" spans="1:33">
      <c r="D46" s="151">
        <v>44</v>
      </c>
      <c r="E46" s="25" t="s">
        <v>124</v>
      </c>
      <c r="F46" s="26" t="s">
        <v>125</v>
      </c>
      <c r="G46" s="25" t="s">
        <v>40</v>
      </c>
      <c r="H46" s="44" t="str">
        <f>CONCATENATE(E46,"_",F46,"_",G46)</f>
        <v>A016_Nihir Galani_A03</v>
      </c>
      <c r="I46" s="30" t="s">
        <v>35</v>
      </c>
      <c r="J46" s="26" t="s">
        <v>41</v>
      </c>
      <c r="K46" s="25">
        <v>550</v>
      </c>
      <c r="L46" s="25">
        <v>550</v>
      </c>
      <c r="M46" s="27">
        <v>45117</v>
      </c>
      <c r="N46" s="27">
        <v>45117</v>
      </c>
      <c r="O46" s="27">
        <v>45117</v>
      </c>
      <c r="P46" s="25" t="s">
        <v>90</v>
      </c>
      <c r="Q46" s="27">
        <v>45180</v>
      </c>
      <c r="R46" s="74">
        <f ca="1">(IF(Q46="",(TODAY()-O46),(Q46-O46)))/30</f>
        <v>2.1</v>
      </c>
      <c r="S46" s="44">
        <f ca="1">ROUNDUP(R46*8,0)</f>
        <v>17</v>
      </c>
      <c r="T46" s="25"/>
      <c r="U46" s="25"/>
      <c r="V46" s="25"/>
      <c r="W46" s="25"/>
      <c r="X46" s="25"/>
      <c r="Y46" s="25"/>
      <c r="Z46" s="25" t="s">
        <v>47</v>
      </c>
      <c r="AA46" s="25">
        <v>3600</v>
      </c>
      <c r="AB46" s="25">
        <v>3600</v>
      </c>
      <c r="AC46" s="25" t="s">
        <v>46</v>
      </c>
      <c r="AD46" s="38">
        <v>45180</v>
      </c>
      <c r="AE46" s="29"/>
      <c r="AF46" s="1"/>
    </row>
    <row r="47" spans="1:33">
      <c r="D47" s="151">
        <v>45</v>
      </c>
      <c r="E47" s="25" t="s">
        <v>126</v>
      </c>
      <c r="F47" s="26" t="s">
        <v>127</v>
      </c>
      <c r="G47" s="25" t="s">
        <v>40</v>
      </c>
      <c r="H47" s="25" t="str">
        <f>CONCATENATE(E47,"_",F47,"_",G47)</f>
        <v>A017_Aarohi Fegde_A03</v>
      </c>
      <c r="I47" s="25" t="s">
        <v>35</v>
      </c>
      <c r="J47" s="26" t="s">
        <v>41</v>
      </c>
      <c r="K47" s="25">
        <v>1600</v>
      </c>
      <c r="L47" s="25">
        <v>1600</v>
      </c>
      <c r="M47" s="27">
        <v>45125</v>
      </c>
      <c r="N47" s="27">
        <v>45125</v>
      </c>
      <c r="O47" s="27">
        <v>45124</v>
      </c>
      <c r="P47" s="25" t="s">
        <v>77</v>
      </c>
      <c r="Q47" s="27">
        <v>45260</v>
      </c>
      <c r="R47" s="91">
        <f ca="1">(IF(Q47="",(TODAY()-O47),(Q47-O47)))/30</f>
        <v>4.5333333333333332</v>
      </c>
      <c r="S47" s="25">
        <f ca="1">ROUNDUP(R47*8,0)</f>
        <v>37</v>
      </c>
      <c r="T47" s="25"/>
      <c r="U47" s="25"/>
      <c r="V47" s="25"/>
      <c r="W47" s="25"/>
      <c r="X47" s="25"/>
      <c r="Y47" s="25"/>
      <c r="Z47" s="25" t="s">
        <v>106</v>
      </c>
      <c r="AA47" s="25">
        <v>4800</v>
      </c>
      <c r="AB47" s="25">
        <v>4800</v>
      </c>
      <c r="AC47" s="25" t="s">
        <v>46</v>
      </c>
      <c r="AD47" s="38">
        <v>45250</v>
      </c>
      <c r="AE47" s="29"/>
      <c r="AF47" s="29"/>
    </row>
    <row r="48" spans="1:33">
      <c r="D48" s="151">
        <v>46</v>
      </c>
      <c r="E48" s="25" t="s">
        <v>126</v>
      </c>
      <c r="F48" s="26" t="s">
        <v>127</v>
      </c>
      <c r="G48" s="25" t="s">
        <v>83</v>
      </c>
      <c r="H48" s="25" t="str">
        <f>CONCATENATE(E48,"_",F48,"_",G48)</f>
        <v>A017_Aarohi Fegde_A04</v>
      </c>
      <c r="I48" s="25" t="s">
        <v>35</v>
      </c>
      <c r="J48" s="26" t="s">
        <v>84</v>
      </c>
      <c r="K48" s="25">
        <v>400</v>
      </c>
      <c r="L48" s="25">
        <v>400</v>
      </c>
      <c r="M48" s="27">
        <v>45264</v>
      </c>
      <c r="N48" s="27">
        <v>45264</v>
      </c>
      <c r="O48" s="27">
        <v>45264</v>
      </c>
      <c r="P48" s="25" t="s">
        <v>77</v>
      </c>
      <c r="Q48" s="27">
        <v>45333</v>
      </c>
      <c r="R48" s="91">
        <f ca="1">(IF(Q48="",(TODAY()-O48),(Q48-O48)))/30</f>
        <v>2.2999999999999998</v>
      </c>
      <c r="S48" s="25">
        <f ca="1">ROUNDUP(R48*8,0)</f>
        <v>19</v>
      </c>
      <c r="T48" s="27">
        <v>45333</v>
      </c>
      <c r="U48" s="27">
        <v>45333</v>
      </c>
      <c r="V48" s="25"/>
      <c r="W48" s="25"/>
      <c r="X48" s="25"/>
      <c r="Y48" s="25"/>
      <c r="Z48" s="25" t="s">
        <v>106</v>
      </c>
      <c r="AA48" s="25">
        <v>2400</v>
      </c>
      <c r="AB48" s="25">
        <v>2400</v>
      </c>
      <c r="AC48" s="25" t="s">
        <v>107</v>
      </c>
      <c r="AD48" s="38">
        <v>45333</v>
      </c>
      <c r="AE48" s="29"/>
      <c r="AF48" s="29"/>
    </row>
    <row r="49" spans="1:33">
      <c r="D49" s="151">
        <v>47</v>
      </c>
      <c r="E49" s="25" t="s">
        <v>126</v>
      </c>
      <c r="F49" s="26" t="s">
        <v>127</v>
      </c>
      <c r="G49" s="25" t="s">
        <v>85</v>
      </c>
      <c r="H49" s="25" t="str">
        <f>CONCATENATE(E49,"_",F49,"_",G49)</f>
        <v>A017_Aarohi Fegde_A05</v>
      </c>
      <c r="I49" s="25" t="s">
        <v>35</v>
      </c>
      <c r="J49" s="26" t="s">
        <v>86</v>
      </c>
      <c r="K49" s="25">
        <v>400</v>
      </c>
      <c r="L49" s="25">
        <v>400</v>
      </c>
      <c r="M49" s="27">
        <v>45344</v>
      </c>
      <c r="N49" s="27">
        <v>45344</v>
      </c>
      <c r="O49" s="27">
        <v>45344</v>
      </c>
      <c r="P49" s="25" t="s">
        <v>77</v>
      </c>
      <c r="Q49" s="27">
        <v>45433</v>
      </c>
      <c r="R49" s="91">
        <f ca="1">(IF(Q49="",(TODAY()-O49),(Q49-O49)))/30</f>
        <v>2.9666666666666668</v>
      </c>
      <c r="S49" s="25">
        <f ca="1">ROUNDUP(R49*8,0)</f>
        <v>24</v>
      </c>
      <c r="T49" s="27">
        <v>45433</v>
      </c>
      <c r="U49" s="27">
        <v>45433</v>
      </c>
      <c r="V49" s="28">
        <v>0.99</v>
      </c>
      <c r="W49" s="28"/>
      <c r="X49" s="28"/>
      <c r="Y49" s="28"/>
      <c r="Z49" s="25" t="s">
        <v>106</v>
      </c>
      <c r="AA49" s="25">
        <v>3600</v>
      </c>
      <c r="AB49" s="25">
        <v>3600</v>
      </c>
      <c r="AC49" s="25" t="s">
        <v>46</v>
      </c>
      <c r="AD49" s="38">
        <v>45433</v>
      </c>
      <c r="AE49" s="29">
        <v>3</v>
      </c>
      <c r="AF49" s="29"/>
    </row>
    <row r="50" spans="1:33">
      <c r="D50" s="151">
        <v>48</v>
      </c>
      <c r="E50" s="25" t="s">
        <v>126</v>
      </c>
      <c r="F50" s="26" t="s">
        <v>127</v>
      </c>
      <c r="G50" s="25" t="s">
        <v>102</v>
      </c>
      <c r="H50" s="25" t="str">
        <f>CONCATENATE(E50,"_",F50,"_",G50)</f>
        <v>A017_Aarohi Fegde_A06</v>
      </c>
      <c r="I50" s="25" t="s">
        <v>114</v>
      </c>
      <c r="J50" s="26" t="s">
        <v>103</v>
      </c>
      <c r="K50" s="25">
        <v>400</v>
      </c>
      <c r="L50" s="25">
        <v>400</v>
      </c>
      <c r="M50" s="27">
        <v>45461</v>
      </c>
      <c r="N50" s="27">
        <v>45444</v>
      </c>
      <c r="O50" s="27">
        <v>45444</v>
      </c>
      <c r="P50" s="25" t="s">
        <v>77</v>
      </c>
      <c r="Q50" s="25"/>
      <c r="R50" s="91">
        <f ca="1">(IF(Q50="",(TODAY()-O50),(Q50-O50)))/30</f>
        <v>18.066666666666666</v>
      </c>
      <c r="S50" s="25">
        <f ca="1">ROUNDUP(R50*8,0)</f>
        <v>145</v>
      </c>
      <c r="T50" s="25"/>
      <c r="U50" s="25"/>
      <c r="V50" s="25"/>
      <c r="W50" s="25"/>
      <c r="X50" s="25"/>
      <c r="Y50" s="25"/>
      <c r="Z50" s="25" t="s">
        <v>106</v>
      </c>
      <c r="AA50" s="25">
        <v>3600</v>
      </c>
      <c r="AB50" s="25">
        <v>4800</v>
      </c>
      <c r="AC50" s="25" t="s">
        <v>46</v>
      </c>
      <c r="AD50" s="38">
        <v>45639</v>
      </c>
      <c r="AE50" s="29">
        <v>4</v>
      </c>
      <c r="AF50" s="29"/>
    </row>
    <row r="51" spans="1:33">
      <c r="D51" s="151">
        <v>49</v>
      </c>
      <c r="E51" s="30" t="s">
        <v>128</v>
      </c>
      <c r="F51" s="31" t="s">
        <v>129</v>
      </c>
      <c r="G51" s="30" t="s">
        <v>40</v>
      </c>
      <c r="H51" s="44" t="str">
        <f>CONCATENATE(E51,"_",F51,"_",G51)</f>
        <v>A018_Kaivalya Patil_A03</v>
      </c>
      <c r="I51" s="30" t="s">
        <v>35</v>
      </c>
      <c r="J51" s="31" t="s">
        <v>41</v>
      </c>
      <c r="K51" s="30">
        <v>1600</v>
      </c>
      <c r="L51" s="30">
        <v>1600</v>
      </c>
      <c r="M51" s="32">
        <v>45140</v>
      </c>
      <c r="N51" s="32">
        <v>45140</v>
      </c>
      <c r="O51" s="32">
        <v>45131</v>
      </c>
      <c r="P51" s="30"/>
      <c r="Q51" s="36">
        <v>45235</v>
      </c>
      <c r="R51" s="74">
        <f ca="1">(IF(Q51="",(TODAY()-O51),(Q51-O51)))/30</f>
        <v>3.4666666666666668</v>
      </c>
      <c r="S51" s="44">
        <f ca="1">ROUNDUP(R51*8,0)</f>
        <v>28</v>
      </c>
      <c r="T51" s="30"/>
      <c r="U51" s="30"/>
      <c r="V51" s="30"/>
      <c r="W51" s="30"/>
      <c r="X51" s="30"/>
      <c r="Y51" s="30"/>
      <c r="Z51" s="30" t="s">
        <v>47</v>
      </c>
      <c r="AA51" s="30">
        <v>3600</v>
      </c>
      <c r="AB51" s="30">
        <v>3600</v>
      </c>
      <c r="AC51" s="30" t="s">
        <v>46</v>
      </c>
      <c r="AD51" s="33">
        <v>45235</v>
      </c>
      <c r="AE51" s="34"/>
      <c r="AF51" s="34"/>
    </row>
    <row r="52" spans="1:33">
      <c r="D52" s="151">
        <v>50</v>
      </c>
      <c r="E52" s="30" t="s">
        <v>130</v>
      </c>
      <c r="F52" s="31" t="s">
        <v>131</v>
      </c>
      <c r="G52" s="30" t="s">
        <v>50</v>
      </c>
      <c r="H52" s="44" t="str">
        <f>CONCATENATE(E52,"_",F52,"_",G52)</f>
        <v>A019_Ira Deshmukh_A08</v>
      </c>
      <c r="I52" s="30" t="s">
        <v>114</v>
      </c>
      <c r="J52" s="31" t="s">
        <v>51</v>
      </c>
      <c r="K52" s="30">
        <v>1600</v>
      </c>
      <c r="L52" s="30">
        <v>1600</v>
      </c>
      <c r="M52" s="32">
        <v>45261</v>
      </c>
      <c r="N52" s="32">
        <v>45261</v>
      </c>
      <c r="O52" s="32">
        <v>45261</v>
      </c>
      <c r="P52" s="21" t="s">
        <v>52</v>
      </c>
      <c r="Q52" s="36">
        <v>45473</v>
      </c>
      <c r="R52" s="74">
        <f ca="1">(IF(Q52="",(TODAY()-O52),(Q52-O52)))/30</f>
        <v>7.0666666666666664</v>
      </c>
      <c r="S52" s="44">
        <f ca="1">ROUNDUP(R52*8,0)</f>
        <v>57</v>
      </c>
      <c r="T52" s="30"/>
      <c r="U52" s="30"/>
      <c r="V52" s="30"/>
      <c r="W52" s="30"/>
      <c r="X52" s="30"/>
      <c r="Y52" s="30"/>
      <c r="Z52" s="30" t="s">
        <v>106</v>
      </c>
      <c r="AA52" s="30">
        <f>1200*AE52</f>
        <v>8400</v>
      </c>
      <c r="AB52" s="30">
        <v>6000</v>
      </c>
      <c r="AC52" s="30" t="s">
        <v>107</v>
      </c>
      <c r="AD52" s="33">
        <v>45478</v>
      </c>
      <c r="AE52" s="48">
        <v>7</v>
      </c>
      <c r="AF52" s="34" t="s">
        <v>132</v>
      </c>
      <c r="AG52" s="49"/>
    </row>
    <row r="53" spans="1:33">
      <c r="D53" s="151">
        <v>51</v>
      </c>
      <c r="E53" s="25" t="s">
        <v>133</v>
      </c>
      <c r="F53" s="26" t="s">
        <v>134</v>
      </c>
      <c r="G53" s="25" t="s">
        <v>50</v>
      </c>
      <c r="H53" s="44" t="str">
        <f>CONCATENATE(E53,"_",F53,"_",G53)</f>
        <v>A020_Riyanshi Varma_A08</v>
      </c>
      <c r="I53" s="30" t="s">
        <v>35</v>
      </c>
      <c r="J53" s="26" t="s">
        <v>51</v>
      </c>
      <c r="K53" s="25">
        <v>400</v>
      </c>
      <c r="L53" s="25">
        <v>400</v>
      </c>
      <c r="M53" s="27">
        <v>45269</v>
      </c>
      <c r="N53" s="27">
        <v>45269</v>
      </c>
      <c r="O53" s="27">
        <v>45261</v>
      </c>
      <c r="P53" s="25" t="s">
        <v>90</v>
      </c>
      <c r="Q53" s="36">
        <v>45412</v>
      </c>
      <c r="R53" s="74">
        <f ca="1">(IF(Q53="",(TODAY()-O53),(Q53-O53)))/30</f>
        <v>5.0333333333333332</v>
      </c>
      <c r="S53" s="44">
        <f ca="1">ROUNDUP(R53*8,0)</f>
        <v>41</v>
      </c>
      <c r="T53" s="25"/>
      <c r="U53" s="25"/>
      <c r="V53" s="25"/>
      <c r="W53" s="25"/>
      <c r="X53" s="25"/>
      <c r="Y53" s="25"/>
      <c r="Z53" s="25" t="s">
        <v>106</v>
      </c>
      <c r="AA53" s="25">
        <v>4800</v>
      </c>
      <c r="AB53" s="25">
        <v>4800</v>
      </c>
      <c r="AC53" s="25" t="s">
        <v>46</v>
      </c>
      <c r="AD53" s="38">
        <v>45372</v>
      </c>
      <c r="AE53" s="29"/>
      <c r="AF53" s="29"/>
    </row>
    <row r="54" spans="1:33">
      <c r="D54" s="151">
        <v>52</v>
      </c>
      <c r="E54" s="30" t="s">
        <v>135</v>
      </c>
      <c r="F54" s="31" t="s">
        <v>136</v>
      </c>
      <c r="G54" s="30" t="s">
        <v>40</v>
      </c>
      <c r="H54" s="44" t="str">
        <f>CONCATENATE(E54,"_",F54,"_",G54)</f>
        <v>A021_Abhay Patil_A03</v>
      </c>
      <c r="I54" s="30" t="s">
        <v>35</v>
      </c>
      <c r="J54" s="31" t="s">
        <v>41</v>
      </c>
      <c r="K54" s="30">
        <v>1600</v>
      </c>
      <c r="L54" s="30">
        <v>1600</v>
      </c>
      <c r="M54" s="32">
        <v>45305</v>
      </c>
      <c r="N54" s="32">
        <v>45306</v>
      </c>
      <c r="O54" s="32">
        <v>45306</v>
      </c>
      <c r="P54" s="30" t="s">
        <v>77</v>
      </c>
      <c r="Q54" s="32">
        <v>45442</v>
      </c>
      <c r="R54" s="74">
        <f ca="1">(IF(Q54="",(TODAY()-O54),(Q54-O54)))/30</f>
        <v>4.5333333333333332</v>
      </c>
      <c r="S54" s="44">
        <f ca="1">ROUNDUP(R54*8,0)</f>
        <v>37</v>
      </c>
      <c r="T54" s="32">
        <v>45442</v>
      </c>
      <c r="U54" s="32">
        <v>45442</v>
      </c>
      <c r="V54" s="50">
        <v>0.95</v>
      </c>
      <c r="W54" s="50"/>
      <c r="X54" s="50"/>
      <c r="Y54" s="50"/>
      <c r="Z54" s="30" t="s">
        <v>106</v>
      </c>
      <c r="AA54" s="30">
        <f>1200*AE54</f>
        <v>4800</v>
      </c>
      <c r="AB54" s="30">
        <v>4800</v>
      </c>
      <c r="AC54" s="30" t="s">
        <v>46</v>
      </c>
      <c r="AD54" s="33">
        <v>45447</v>
      </c>
      <c r="AE54" s="48">
        <v>4</v>
      </c>
      <c r="AF54" s="34"/>
    </row>
    <row r="55" spans="1:33">
      <c r="A55" s="10" t="s">
        <v>137</v>
      </c>
      <c r="B55" s="10" t="s">
        <v>63</v>
      </c>
      <c r="D55" s="151">
        <v>53</v>
      </c>
      <c r="E55" s="44" t="s">
        <v>135</v>
      </c>
      <c r="F55" s="45" t="s">
        <v>136</v>
      </c>
      <c r="G55" s="44" t="s">
        <v>83</v>
      </c>
      <c r="H55" s="44" t="str">
        <f>CONCATENATE(E55,"_",F55,"_",G55)</f>
        <v>A021_Abhay Patil_A04</v>
      </c>
      <c r="I55" s="44" t="s">
        <v>65</v>
      </c>
      <c r="J55" s="45" t="s">
        <v>84</v>
      </c>
      <c r="K55" s="44">
        <v>400</v>
      </c>
      <c r="L55" s="44">
        <v>400</v>
      </c>
      <c r="M55" s="35">
        <v>45447</v>
      </c>
      <c r="N55" s="35">
        <v>45447</v>
      </c>
      <c r="O55" s="35">
        <v>45922</v>
      </c>
      <c r="P55" s="44" t="s">
        <v>138</v>
      </c>
      <c r="Q55" s="35"/>
      <c r="R55" s="74"/>
      <c r="S55" s="44">
        <f>ROUNDUP(R55*8,0)</f>
        <v>0</v>
      </c>
      <c r="T55" s="44"/>
      <c r="U55" s="44"/>
      <c r="V55" s="44"/>
      <c r="W55" s="44"/>
      <c r="X55" s="44"/>
      <c r="Y55" s="44"/>
      <c r="Z55" s="44" t="s">
        <v>106</v>
      </c>
      <c r="AA55" s="44">
        <v>3600</v>
      </c>
      <c r="AB55" s="44">
        <v>4000</v>
      </c>
      <c r="AC55" s="44" t="s">
        <v>110</v>
      </c>
      <c r="AD55" s="54" t="s">
        <v>139</v>
      </c>
      <c r="AE55" s="47">
        <v>3</v>
      </c>
      <c r="AF55" s="47" t="s">
        <v>140</v>
      </c>
    </row>
    <row r="56" spans="1:33">
      <c r="D56" s="151">
        <v>54</v>
      </c>
      <c r="E56" s="25" t="s">
        <v>141</v>
      </c>
      <c r="F56" s="26" t="s">
        <v>142</v>
      </c>
      <c r="G56" s="25" t="s">
        <v>93</v>
      </c>
      <c r="H56" s="44" t="str">
        <f>CONCATENATE(E56,"_",F56,"_",G56)</f>
        <v>A022_Prisha Chormule_A02</v>
      </c>
      <c r="I56" s="30" t="s">
        <v>35</v>
      </c>
      <c r="J56" s="26" t="s">
        <v>94</v>
      </c>
      <c r="K56" s="25">
        <v>1600</v>
      </c>
      <c r="L56" s="25">
        <v>1600</v>
      </c>
      <c r="M56" s="27">
        <v>45266</v>
      </c>
      <c r="N56" s="27">
        <v>45309</v>
      </c>
      <c r="O56" s="27">
        <v>45309</v>
      </c>
      <c r="P56" s="25" t="s">
        <v>77</v>
      </c>
      <c r="Q56" s="36">
        <v>45473</v>
      </c>
      <c r="R56" s="74">
        <f ca="1">(IF(Q56="",(TODAY()-O56),(Q56-O56)))/30</f>
        <v>5.4666666666666668</v>
      </c>
      <c r="S56" s="44">
        <f ca="1">ROUNDUP(R56*8,0)</f>
        <v>44</v>
      </c>
      <c r="T56" s="25"/>
      <c r="U56" s="25"/>
      <c r="V56" s="28">
        <v>0.93</v>
      </c>
      <c r="W56" s="28"/>
      <c r="X56" s="28"/>
      <c r="Y56" s="28"/>
      <c r="Z56" s="25" t="s">
        <v>47</v>
      </c>
      <c r="AA56" s="25">
        <v>3000</v>
      </c>
      <c r="AB56" s="25">
        <v>3000</v>
      </c>
      <c r="AC56" s="25" t="s">
        <v>46</v>
      </c>
      <c r="AD56" s="38">
        <v>45369</v>
      </c>
      <c r="AE56" s="29"/>
      <c r="AF56" s="29"/>
    </row>
    <row r="57" spans="1:33">
      <c r="D57" s="151">
        <v>55</v>
      </c>
      <c r="E57" s="25" t="s">
        <v>143</v>
      </c>
      <c r="F57" s="26" t="s">
        <v>144</v>
      </c>
      <c r="G57" s="25" t="s">
        <v>40</v>
      </c>
      <c r="H57" s="44" t="str">
        <f>CONCATENATE(E57,"_",F57,"_",G57)</f>
        <v>A023_Dhruv Bawankar_A03</v>
      </c>
      <c r="I57" s="30" t="s">
        <v>114</v>
      </c>
      <c r="J57" s="26" t="s">
        <v>41</v>
      </c>
      <c r="K57" s="25">
        <v>1600</v>
      </c>
      <c r="L57" s="25">
        <v>1600</v>
      </c>
      <c r="M57" s="27">
        <v>45331</v>
      </c>
      <c r="N57" s="27">
        <v>45331</v>
      </c>
      <c r="O57" s="27">
        <v>45316</v>
      </c>
      <c r="P57" s="25" t="s">
        <v>145</v>
      </c>
      <c r="Q57" s="36">
        <v>45473</v>
      </c>
      <c r="R57" s="74">
        <f ca="1">(IF(Q57="",(TODAY()-O57),(Q57-O57)))/30</f>
        <v>5.2333333333333334</v>
      </c>
      <c r="S57" s="44">
        <f ca="1">ROUNDUP(R57*8,0)</f>
        <v>42</v>
      </c>
      <c r="T57" s="25"/>
      <c r="U57" s="25"/>
      <c r="V57" s="25"/>
      <c r="W57" s="25"/>
      <c r="X57" s="25"/>
      <c r="Y57" s="25"/>
      <c r="Z57" s="25" t="s">
        <v>106</v>
      </c>
      <c r="AA57" s="25">
        <f ca="1">1200*AE57</f>
        <v>12000</v>
      </c>
      <c r="AB57" s="25">
        <v>4800</v>
      </c>
      <c r="AC57" s="25" t="s">
        <v>107</v>
      </c>
      <c r="AD57" s="38">
        <v>45457</v>
      </c>
      <c r="AE57" s="43">
        <f ca="1">MONTH(TODAY()-O57)</f>
        <v>10</v>
      </c>
      <c r="AF57" s="29"/>
    </row>
    <row r="58" spans="1:33">
      <c r="D58" s="151">
        <v>56</v>
      </c>
      <c r="E58" s="21" t="s">
        <v>146</v>
      </c>
      <c r="F58" s="22" t="s">
        <v>147</v>
      </c>
      <c r="G58" s="21" t="s">
        <v>93</v>
      </c>
      <c r="H58" s="44" t="str">
        <f>CONCATENATE(E58,"_",F58,"_",G58)</f>
        <v>A024_Shreshth Gupta_A02</v>
      </c>
      <c r="I58" s="30" t="s">
        <v>35</v>
      </c>
      <c r="J58" s="22" t="s">
        <v>94</v>
      </c>
      <c r="K58" s="21">
        <v>1600</v>
      </c>
      <c r="L58" s="21">
        <v>1600</v>
      </c>
      <c r="M58" s="23">
        <v>45327</v>
      </c>
      <c r="N58" s="23">
        <v>45332</v>
      </c>
      <c r="O58" s="23">
        <v>45332</v>
      </c>
      <c r="P58" s="21" t="s">
        <v>148</v>
      </c>
      <c r="Q58" s="36">
        <v>45442</v>
      </c>
      <c r="R58" s="74">
        <f ca="1">(IF(Q58="",(TODAY()-O58),(Q58-O58)))/30</f>
        <v>3.6666666666666665</v>
      </c>
      <c r="S58" s="44">
        <f ca="1">ROUNDUP(R58*8,0)</f>
        <v>30</v>
      </c>
      <c r="T58" s="21"/>
      <c r="U58" s="21"/>
      <c r="V58" s="24">
        <v>1</v>
      </c>
      <c r="W58" s="24"/>
      <c r="X58" s="24"/>
      <c r="Y58" s="24"/>
      <c r="Z58" s="21" t="s">
        <v>149</v>
      </c>
      <c r="AA58" s="21">
        <v>4800</v>
      </c>
      <c r="AB58" s="21">
        <v>4800</v>
      </c>
      <c r="AC58" s="21" t="s">
        <v>46</v>
      </c>
      <c r="AD58" s="2">
        <v>45419</v>
      </c>
      <c r="AE58" s="1"/>
      <c r="AF58" s="1"/>
    </row>
    <row r="59" spans="1:33">
      <c r="D59" s="151">
        <v>57</v>
      </c>
      <c r="E59" s="21" t="s">
        <v>146</v>
      </c>
      <c r="F59" s="22" t="s">
        <v>147</v>
      </c>
      <c r="G59" s="21" t="s">
        <v>40</v>
      </c>
      <c r="H59" s="44" t="str">
        <f>CONCATENATE(E59,"_",F59,"_",G59)</f>
        <v>A024_Shreshth Gupta_A03</v>
      </c>
      <c r="I59" s="21" t="s">
        <v>150</v>
      </c>
      <c r="J59" s="22" t="s">
        <v>41</v>
      </c>
      <c r="K59" s="21">
        <v>400</v>
      </c>
      <c r="L59" s="21">
        <v>400</v>
      </c>
      <c r="M59" s="23">
        <v>45444</v>
      </c>
      <c r="N59" s="23">
        <v>45444</v>
      </c>
      <c r="O59" s="23">
        <v>45444</v>
      </c>
      <c r="P59" s="21" t="s">
        <v>151</v>
      </c>
      <c r="Q59" s="23">
        <v>45662</v>
      </c>
      <c r="R59" s="74">
        <f ca="1">(IF(Q59="",(TODAY()-O59),(Q59-O59)))/30</f>
        <v>7.2666666666666666</v>
      </c>
      <c r="S59" s="44">
        <f ca="1">ROUNDUP(R59*8,0)</f>
        <v>59</v>
      </c>
      <c r="T59" s="23">
        <v>45662</v>
      </c>
      <c r="U59" s="23">
        <v>45662</v>
      </c>
      <c r="V59" s="24">
        <v>1</v>
      </c>
      <c r="W59" s="21"/>
      <c r="X59" s="21"/>
      <c r="Y59" s="21"/>
      <c r="Z59" s="21" t="s">
        <v>106</v>
      </c>
      <c r="AA59" s="21">
        <f>1200*AE59</f>
        <v>6000</v>
      </c>
      <c r="AB59" s="21">
        <v>7200</v>
      </c>
      <c r="AC59" s="21" t="s">
        <v>46</v>
      </c>
      <c r="AD59" s="2">
        <v>45632</v>
      </c>
      <c r="AE59" s="39">
        <v>5</v>
      </c>
      <c r="AF59" s="1"/>
    </row>
    <row r="60" spans="1:33">
      <c r="D60" s="151">
        <v>58</v>
      </c>
      <c r="E60" s="21" t="s">
        <v>146</v>
      </c>
      <c r="F60" s="22" t="s">
        <v>147</v>
      </c>
      <c r="G60" s="21" t="s">
        <v>83</v>
      </c>
      <c r="H60" s="44" t="str">
        <f>CONCATENATE(E60,"_",F60,"_",G60)</f>
        <v>A024_Shreshth Gupta_A04</v>
      </c>
      <c r="I60" s="21" t="s">
        <v>35</v>
      </c>
      <c r="J60" s="22" t="s">
        <v>84</v>
      </c>
      <c r="K60" s="21">
        <v>400</v>
      </c>
      <c r="L60" s="21">
        <v>400</v>
      </c>
      <c r="M60" s="23">
        <v>45662</v>
      </c>
      <c r="N60" s="23">
        <v>45662</v>
      </c>
      <c r="O60" s="23">
        <v>45662</v>
      </c>
      <c r="P60" s="21" t="s">
        <v>151</v>
      </c>
      <c r="Q60" s="23">
        <v>45816</v>
      </c>
      <c r="R60" s="74">
        <f ca="1">(IF(Q60="",(TODAY()-O60),(Q60-O60)))/30</f>
        <v>5.1333333333333337</v>
      </c>
      <c r="S60" s="44">
        <f ca="1">ROUNDUP(R60*8,0)</f>
        <v>42</v>
      </c>
      <c r="T60" s="23">
        <v>45816</v>
      </c>
      <c r="U60" s="23">
        <v>45816</v>
      </c>
      <c r="V60" s="24">
        <v>0.96</v>
      </c>
      <c r="W60" s="21"/>
      <c r="X60" s="21"/>
      <c r="Y60" s="21"/>
      <c r="Z60" s="21" t="s">
        <v>152</v>
      </c>
      <c r="AA60" s="21">
        <v>3600</v>
      </c>
      <c r="AB60" s="21">
        <f>4800+1500</f>
        <v>6300</v>
      </c>
      <c r="AC60" s="21" t="s">
        <v>61</v>
      </c>
      <c r="AD60" s="2">
        <v>45783</v>
      </c>
      <c r="AE60" s="39">
        <v>5</v>
      </c>
      <c r="AF60" s="1" t="s">
        <v>111</v>
      </c>
    </row>
    <row r="61" spans="1:33">
      <c r="D61" s="151">
        <v>59</v>
      </c>
      <c r="E61" s="37" t="s">
        <v>146</v>
      </c>
      <c r="F61" s="143" t="s">
        <v>147</v>
      </c>
      <c r="G61" s="37" t="s">
        <v>85</v>
      </c>
      <c r="H61" s="37" t="str">
        <f>CONCATENATE(E61,"_",F61,"_",G61)</f>
        <v>A024_Shreshth Gupta_A05</v>
      </c>
      <c r="I61" s="37" t="s">
        <v>35</v>
      </c>
      <c r="J61" s="143" t="s">
        <v>86</v>
      </c>
      <c r="K61" s="21">
        <v>400</v>
      </c>
      <c r="L61" s="21">
        <v>400</v>
      </c>
      <c r="M61" s="23">
        <v>45823</v>
      </c>
      <c r="N61" s="23">
        <v>45823</v>
      </c>
      <c r="O61" s="23">
        <v>45823</v>
      </c>
      <c r="P61" s="21" t="s">
        <v>153</v>
      </c>
      <c r="Q61" s="23">
        <v>45923</v>
      </c>
      <c r="R61" s="74"/>
      <c r="S61" s="44"/>
      <c r="T61" s="23">
        <v>45923</v>
      </c>
      <c r="U61" s="23">
        <v>45923</v>
      </c>
      <c r="V61" s="40">
        <v>0.96</v>
      </c>
      <c r="W61" s="21"/>
      <c r="X61" s="21"/>
      <c r="Y61" s="21"/>
      <c r="Z61" s="21" t="s">
        <v>47</v>
      </c>
      <c r="AA61" s="21">
        <v>3600</v>
      </c>
      <c r="AB61" s="21">
        <v>3600</v>
      </c>
      <c r="AC61" s="21" t="s">
        <v>46</v>
      </c>
      <c r="AD61" s="2">
        <v>45850</v>
      </c>
      <c r="AE61" s="39">
        <v>3</v>
      </c>
      <c r="AF61" s="1" t="s">
        <v>69</v>
      </c>
    </row>
    <row r="62" spans="1:33">
      <c r="B62" s="10" t="s">
        <v>63</v>
      </c>
      <c r="D62" s="151">
        <v>60</v>
      </c>
      <c r="E62" s="37" t="s">
        <v>146</v>
      </c>
      <c r="F62" s="143" t="s">
        <v>147</v>
      </c>
      <c r="G62" s="37" t="s">
        <v>85</v>
      </c>
      <c r="H62" s="37" t="str">
        <f>CONCATENATE(E62,"_",F62,"_",G62)</f>
        <v>A024_Shreshth Gupta_A05</v>
      </c>
      <c r="I62" s="37" t="s">
        <v>65</v>
      </c>
      <c r="J62" s="143" t="s">
        <v>103</v>
      </c>
      <c r="K62" s="21">
        <v>400</v>
      </c>
      <c r="L62" s="21">
        <v>400</v>
      </c>
      <c r="M62" s="23">
        <v>45945</v>
      </c>
      <c r="N62" s="23">
        <v>45945</v>
      </c>
      <c r="O62" s="23">
        <v>45945</v>
      </c>
      <c r="P62" s="21"/>
      <c r="Q62" s="23"/>
      <c r="R62" s="74"/>
      <c r="S62" s="44"/>
      <c r="T62" s="23"/>
      <c r="U62" s="23"/>
      <c r="V62" s="40"/>
      <c r="W62" s="21"/>
      <c r="X62" s="21"/>
      <c r="Y62" s="21"/>
      <c r="Z62" s="21" t="s">
        <v>47</v>
      </c>
      <c r="AA62" s="21">
        <v>4800</v>
      </c>
      <c r="AB62" s="21">
        <v>4800</v>
      </c>
      <c r="AC62" s="21" t="s">
        <v>46</v>
      </c>
      <c r="AD62" s="2">
        <v>45945</v>
      </c>
      <c r="AE62" s="39"/>
      <c r="AF62" s="1" t="s">
        <v>154</v>
      </c>
      <c r="AG62" t="s">
        <v>155</v>
      </c>
    </row>
    <row r="63" spans="1:33">
      <c r="D63" s="151">
        <v>61</v>
      </c>
      <c r="E63" s="21" t="s">
        <v>156</v>
      </c>
      <c r="F63" s="22" t="s">
        <v>157</v>
      </c>
      <c r="G63" s="21" t="s">
        <v>40</v>
      </c>
      <c r="H63" s="44" t="str">
        <f>CONCATENATE(E63,"_",F63,"_",G63)</f>
        <v>A025_Chaitnya Bhave_A03</v>
      </c>
      <c r="I63" s="30" t="s">
        <v>35</v>
      </c>
      <c r="J63" s="22" t="s">
        <v>41</v>
      </c>
      <c r="K63" s="21">
        <v>1600</v>
      </c>
      <c r="L63" s="21">
        <v>1600</v>
      </c>
      <c r="M63" s="23">
        <v>45347</v>
      </c>
      <c r="N63" s="23">
        <v>45354</v>
      </c>
      <c r="O63" s="23">
        <v>45354</v>
      </c>
      <c r="P63" s="21" t="s">
        <v>100</v>
      </c>
      <c r="Q63" s="36">
        <v>45568</v>
      </c>
      <c r="R63" s="74">
        <f ca="1">(IF(Q63="",(TODAY()-O63),(Q63-O63)))/30</f>
        <v>7.1333333333333337</v>
      </c>
      <c r="S63" s="44">
        <f ca="1">ROUNDUP(R63*8,0)</f>
        <v>58</v>
      </c>
      <c r="T63" s="21"/>
      <c r="U63" s="21"/>
      <c r="V63" s="24">
        <v>0.95</v>
      </c>
      <c r="W63" s="24"/>
      <c r="X63" s="24"/>
      <c r="Y63" s="24"/>
      <c r="Z63" s="21" t="s">
        <v>106</v>
      </c>
      <c r="AA63" s="21">
        <f>1200*AE63</f>
        <v>8400</v>
      </c>
      <c r="AB63" s="21">
        <v>7800</v>
      </c>
      <c r="AC63" s="21" t="s">
        <v>46</v>
      </c>
      <c r="AD63" s="2">
        <v>45543</v>
      </c>
      <c r="AE63" s="39">
        <v>7</v>
      </c>
      <c r="AF63" s="1"/>
    </row>
    <row r="64" spans="1:33">
      <c r="D64" s="151">
        <v>62</v>
      </c>
      <c r="E64" s="21" t="s">
        <v>156</v>
      </c>
      <c r="F64" s="22" t="s">
        <v>157</v>
      </c>
      <c r="G64" s="21" t="s">
        <v>83</v>
      </c>
      <c r="H64" s="44" t="str">
        <f>CONCATENATE(E64,"_",F64,"_",G64)</f>
        <v>A025_Chaitnya Bhave_A04</v>
      </c>
      <c r="I64" s="21" t="s">
        <v>35</v>
      </c>
      <c r="J64" s="22" t="s">
        <v>84</v>
      </c>
      <c r="K64" s="21">
        <v>400</v>
      </c>
      <c r="L64" s="21">
        <v>400</v>
      </c>
      <c r="M64" s="23">
        <v>45575</v>
      </c>
      <c r="N64" s="23">
        <v>45571</v>
      </c>
      <c r="O64" s="23">
        <v>45571</v>
      </c>
      <c r="P64" s="21" t="s">
        <v>151</v>
      </c>
      <c r="Q64" s="23">
        <v>45823</v>
      </c>
      <c r="R64" s="74">
        <f ca="1">(IF(Q64="",(TODAY()-O64),(Q64-O64)))/30</f>
        <v>8.4</v>
      </c>
      <c r="S64" s="44">
        <v>68</v>
      </c>
      <c r="T64" s="23">
        <v>45823</v>
      </c>
      <c r="U64" s="23">
        <v>45823</v>
      </c>
      <c r="V64" s="24">
        <v>0.9</v>
      </c>
      <c r="W64" s="24" t="s">
        <v>158</v>
      </c>
      <c r="X64" s="24"/>
      <c r="Y64" s="24"/>
      <c r="Z64" s="21" t="s">
        <v>106</v>
      </c>
      <c r="AA64" s="21">
        <v>3600</v>
      </c>
      <c r="AB64" s="21">
        <f>4800+2400</f>
        <v>7200</v>
      </c>
      <c r="AC64" s="21" t="s">
        <v>46</v>
      </c>
      <c r="AD64" s="2">
        <v>45781</v>
      </c>
      <c r="AE64" s="39">
        <v>4</v>
      </c>
      <c r="AF64" s="1" t="s">
        <v>69</v>
      </c>
    </row>
    <row r="65" spans="1:32">
      <c r="A65" s="10" t="s">
        <v>159</v>
      </c>
      <c r="B65" s="10" t="s">
        <v>107</v>
      </c>
      <c r="D65" s="151">
        <v>63</v>
      </c>
      <c r="E65" s="21" t="s">
        <v>160</v>
      </c>
      <c r="F65" s="22" t="s">
        <v>157</v>
      </c>
      <c r="G65" s="21" t="s">
        <v>85</v>
      </c>
      <c r="H65" s="44" t="str">
        <f>CONCATENATE(E65,"_",F65,"_",G65)</f>
        <v>A026_Chaitnya Bhave_A05</v>
      </c>
      <c r="I65" s="21" t="s">
        <v>65</v>
      </c>
      <c r="J65" s="22" t="s">
        <v>86</v>
      </c>
      <c r="K65" s="21">
        <v>400</v>
      </c>
      <c r="L65" s="21">
        <v>400</v>
      </c>
      <c r="M65" s="23">
        <v>45823</v>
      </c>
      <c r="N65" s="23">
        <v>45823</v>
      </c>
      <c r="O65" s="23">
        <v>45823</v>
      </c>
      <c r="P65" s="21" t="s">
        <v>151</v>
      </c>
      <c r="Q65" s="23"/>
      <c r="R65" s="74"/>
      <c r="S65" s="44"/>
      <c r="T65" s="23"/>
      <c r="U65" s="23"/>
      <c r="V65" s="24"/>
      <c r="W65" s="24"/>
      <c r="X65" s="24"/>
      <c r="Y65" s="24"/>
      <c r="Z65" s="21" t="s">
        <v>152</v>
      </c>
      <c r="AA65" s="21">
        <v>3600</v>
      </c>
      <c r="AB65" s="21">
        <v>6400</v>
      </c>
      <c r="AC65" s="21" t="s">
        <v>68</v>
      </c>
      <c r="AD65" s="2">
        <v>45939</v>
      </c>
      <c r="AE65" s="39">
        <v>5</v>
      </c>
      <c r="AF65" s="1" t="s">
        <v>111</v>
      </c>
    </row>
    <row r="66" spans="1:32">
      <c r="D66" s="151">
        <v>64</v>
      </c>
      <c r="E66" s="21" t="s">
        <v>160</v>
      </c>
      <c r="F66" s="22" t="s">
        <v>161</v>
      </c>
      <c r="G66" s="21" t="s">
        <v>40</v>
      </c>
      <c r="H66" s="44" t="str">
        <f>CONCATENATE(E66,"_",F66,"_",G66)</f>
        <v>A026_Aayushman Kale_A03</v>
      </c>
      <c r="I66" s="30" t="s">
        <v>35</v>
      </c>
      <c r="J66" s="22" t="s">
        <v>41</v>
      </c>
      <c r="K66" s="21">
        <v>1600</v>
      </c>
      <c r="L66" s="21">
        <v>1600</v>
      </c>
      <c r="M66" s="23">
        <v>45377</v>
      </c>
      <c r="N66" s="23">
        <v>45383</v>
      </c>
      <c r="O66" s="23">
        <v>45383</v>
      </c>
      <c r="P66" s="21" t="s">
        <v>162</v>
      </c>
      <c r="Q66" s="36">
        <v>45427</v>
      </c>
      <c r="R66" s="74">
        <f ca="1">(IF(Q66="",(TODAY()-O66),(Q66-O66)))/30</f>
        <v>1.4666666666666666</v>
      </c>
      <c r="S66" s="44">
        <f ca="1">ROUNDUP(R66*8,0)</f>
        <v>12</v>
      </c>
      <c r="T66" s="21"/>
      <c r="U66" s="21"/>
      <c r="V66" s="24">
        <v>1</v>
      </c>
      <c r="W66" s="24"/>
      <c r="X66" s="24"/>
      <c r="Y66" s="24"/>
      <c r="Z66" s="21" t="s">
        <v>47</v>
      </c>
      <c r="AA66" s="21">
        <v>3600</v>
      </c>
      <c r="AB66" s="21">
        <v>3600</v>
      </c>
      <c r="AC66" s="21" t="s">
        <v>46</v>
      </c>
      <c r="AD66" s="2">
        <v>45416</v>
      </c>
      <c r="AE66" s="2"/>
      <c r="AF66" s="1"/>
    </row>
    <row r="67" spans="1:32">
      <c r="D67" s="151">
        <v>65</v>
      </c>
      <c r="E67" s="21" t="s">
        <v>160</v>
      </c>
      <c r="F67" s="22" t="s">
        <v>161</v>
      </c>
      <c r="G67" s="21" t="s">
        <v>83</v>
      </c>
      <c r="H67" s="44" t="str">
        <f>CONCATENATE(E67,"_",F67,"_",G67)</f>
        <v>A026_Aayushman Kale_A04</v>
      </c>
      <c r="I67" s="30" t="s">
        <v>35</v>
      </c>
      <c r="J67" s="22" t="s">
        <v>84</v>
      </c>
      <c r="K67" s="21">
        <v>400</v>
      </c>
      <c r="L67" s="21">
        <v>400</v>
      </c>
      <c r="M67" s="23">
        <v>45428</v>
      </c>
      <c r="N67" s="23">
        <v>45428</v>
      </c>
      <c r="O67" s="23">
        <v>45430</v>
      </c>
      <c r="P67" s="21" t="s">
        <v>145</v>
      </c>
      <c r="Q67" s="23">
        <v>45474</v>
      </c>
      <c r="R67" s="74">
        <f ca="1">(IF(Q67="",(TODAY()-O67),(Q67-O67)))/30</f>
        <v>1.4666666666666666</v>
      </c>
      <c r="S67" s="44">
        <f ca="1">ROUNDUP(R67*8,0)</f>
        <v>12</v>
      </c>
      <c r="T67" s="23">
        <v>45474</v>
      </c>
      <c r="U67" s="23">
        <v>45474</v>
      </c>
      <c r="V67" s="24">
        <v>0.96</v>
      </c>
      <c r="W67" s="24"/>
      <c r="X67" s="24"/>
      <c r="Y67" s="24"/>
      <c r="Z67" s="21" t="s">
        <v>47</v>
      </c>
      <c r="AA67" s="21">
        <v>3600</v>
      </c>
      <c r="AB67" s="21">
        <v>3600</v>
      </c>
      <c r="AC67" s="21" t="s">
        <v>46</v>
      </c>
      <c r="AD67" s="2">
        <v>45478</v>
      </c>
      <c r="AE67" s="1"/>
      <c r="AF67" s="1"/>
    </row>
    <row r="68" spans="1:32">
      <c r="D68" s="151">
        <v>66</v>
      </c>
      <c r="E68" s="21" t="s">
        <v>160</v>
      </c>
      <c r="F68" s="22" t="s">
        <v>161</v>
      </c>
      <c r="G68" s="21" t="s">
        <v>85</v>
      </c>
      <c r="H68" s="44" t="str">
        <f>CONCATENATE(E68,"_",F68,"_",G68)</f>
        <v>A026_Aayushman Kale_A05</v>
      </c>
      <c r="I68" s="30" t="s">
        <v>35</v>
      </c>
      <c r="J68" s="22" t="s">
        <v>86</v>
      </c>
      <c r="K68" s="21">
        <v>400</v>
      </c>
      <c r="L68" s="21">
        <v>400</v>
      </c>
      <c r="M68" s="23">
        <v>45474</v>
      </c>
      <c r="N68" s="23">
        <v>45474</v>
      </c>
      <c r="O68" s="23">
        <v>45474</v>
      </c>
      <c r="P68" s="21" t="s">
        <v>145</v>
      </c>
      <c r="Q68" s="23">
        <v>45553</v>
      </c>
      <c r="R68" s="74">
        <f ca="1">(IF(Q68="",(TODAY()-O68),(Q68-O68)))/30</f>
        <v>2.6333333333333333</v>
      </c>
      <c r="S68" s="44">
        <f ca="1">ROUNDUP(R68*8,0)</f>
        <v>22</v>
      </c>
      <c r="T68" s="23">
        <v>45553</v>
      </c>
      <c r="U68" s="23">
        <v>45553</v>
      </c>
      <c r="V68" s="24">
        <v>0.96</v>
      </c>
      <c r="W68" s="24"/>
      <c r="X68" s="24"/>
      <c r="Y68" s="24"/>
      <c r="Z68" s="21" t="s">
        <v>47</v>
      </c>
      <c r="AA68" s="21">
        <v>3600</v>
      </c>
      <c r="AB68" s="21">
        <v>3100</v>
      </c>
      <c r="AC68" s="21" t="s">
        <v>46</v>
      </c>
      <c r="AD68" s="2">
        <v>45556</v>
      </c>
      <c r="AE68" s="1">
        <v>3</v>
      </c>
      <c r="AF68" s="1"/>
    </row>
    <row r="69" spans="1:32">
      <c r="D69" s="151">
        <v>67</v>
      </c>
      <c r="E69" s="21" t="s">
        <v>160</v>
      </c>
      <c r="F69" s="22" t="s">
        <v>161</v>
      </c>
      <c r="G69" s="21" t="s">
        <v>102</v>
      </c>
      <c r="H69" s="44" t="str">
        <f>CONCATENATE(E69,"_",F69,"_",G69)</f>
        <v>A026_Aayushman Kale_A06</v>
      </c>
      <c r="I69" s="30" t="s">
        <v>35</v>
      </c>
      <c r="J69" s="22" t="s">
        <v>163</v>
      </c>
      <c r="K69" s="21">
        <v>400</v>
      </c>
      <c r="L69" s="21">
        <v>400</v>
      </c>
      <c r="M69" s="23">
        <v>45556</v>
      </c>
      <c r="N69" s="23">
        <v>45558</v>
      </c>
      <c r="O69" s="23">
        <v>45558</v>
      </c>
      <c r="P69" s="21" t="s">
        <v>145</v>
      </c>
      <c r="Q69" s="52">
        <v>45705</v>
      </c>
      <c r="R69" s="74">
        <f ca="1">(IF(Q69="",(TODAY()-O69),(Q69-O69)))/30</f>
        <v>4.9000000000000004</v>
      </c>
      <c r="S69" s="44">
        <f ca="1">ROUNDUP(R69*8,0)</f>
        <v>40</v>
      </c>
      <c r="T69" s="23">
        <v>45705</v>
      </c>
      <c r="U69" s="23">
        <v>45705</v>
      </c>
      <c r="V69" s="24">
        <v>0.99</v>
      </c>
      <c r="W69" s="24"/>
      <c r="X69" s="24"/>
      <c r="Y69" s="24"/>
      <c r="Z69" s="21" t="s">
        <v>47</v>
      </c>
      <c r="AA69" s="21">
        <v>3600</v>
      </c>
      <c r="AB69" s="21">
        <v>3600</v>
      </c>
      <c r="AC69" s="21" t="s">
        <v>61</v>
      </c>
      <c r="AD69" s="2">
        <v>45674</v>
      </c>
      <c r="AE69" s="1">
        <v>3</v>
      </c>
      <c r="AF69" s="1"/>
    </row>
    <row r="70" spans="1:32">
      <c r="A70" s="10" t="s">
        <v>164</v>
      </c>
      <c r="B70" s="10" t="s">
        <v>107</v>
      </c>
      <c r="D70" s="151">
        <v>68</v>
      </c>
      <c r="E70" s="21" t="s">
        <v>160</v>
      </c>
      <c r="F70" s="22" t="s">
        <v>161</v>
      </c>
      <c r="G70" s="21" t="s">
        <v>108</v>
      </c>
      <c r="H70" s="44" t="str">
        <f>CONCATENATE(E70,"_",F70,"_",G70)</f>
        <v>A026_Aayushman Kale_A07</v>
      </c>
      <c r="I70" s="21" t="s">
        <v>65</v>
      </c>
      <c r="J70" s="22" t="s">
        <v>165</v>
      </c>
      <c r="K70" s="21">
        <v>400</v>
      </c>
      <c r="L70" s="21">
        <v>400</v>
      </c>
      <c r="M70" s="23">
        <v>45712</v>
      </c>
      <c r="N70" s="23">
        <v>45712</v>
      </c>
      <c r="O70" s="23">
        <v>45712</v>
      </c>
      <c r="P70" s="21" t="s">
        <v>145</v>
      </c>
      <c r="Q70" s="52"/>
      <c r="R70" s="74"/>
      <c r="S70" s="44"/>
      <c r="T70" s="23"/>
      <c r="U70" s="23"/>
      <c r="V70" s="24"/>
      <c r="W70" s="24"/>
      <c r="X70" s="24"/>
      <c r="Y70" s="24"/>
      <c r="Z70" s="21" t="s">
        <v>47</v>
      </c>
      <c r="AA70" s="21">
        <v>3600</v>
      </c>
      <c r="AB70" s="21"/>
      <c r="AC70" s="21"/>
      <c r="AD70" s="2"/>
      <c r="AE70" s="1"/>
      <c r="AF70" s="1"/>
    </row>
    <row r="71" spans="1:32">
      <c r="D71" s="151">
        <v>69</v>
      </c>
      <c r="E71" s="21" t="s">
        <v>166</v>
      </c>
      <c r="F71" s="22" t="s">
        <v>167</v>
      </c>
      <c r="G71" s="21" t="s">
        <v>40</v>
      </c>
      <c r="H71" s="44" t="str">
        <f>CONCATENATE(E71,"_",F71,"_",G71)</f>
        <v>A027_Riyansh Pawar_A03</v>
      </c>
      <c r="I71" s="30" t="s">
        <v>35</v>
      </c>
      <c r="J71" s="22" t="s">
        <v>41</v>
      </c>
      <c r="K71" s="21">
        <v>1600</v>
      </c>
      <c r="L71" s="21">
        <v>1600</v>
      </c>
      <c r="M71" s="23">
        <v>45386</v>
      </c>
      <c r="N71" s="23">
        <v>45386</v>
      </c>
      <c r="O71" s="23">
        <v>45384</v>
      </c>
      <c r="P71" s="21" t="s">
        <v>148</v>
      </c>
      <c r="Q71" s="23">
        <v>45425</v>
      </c>
      <c r="R71" s="74">
        <f ca="1">(IF(Q71="",(TODAY()-O71),(Q71-O71)))/30</f>
        <v>1.3666666666666667</v>
      </c>
      <c r="S71" s="44">
        <f ca="1">ROUNDUP(R71*8,0)</f>
        <v>11</v>
      </c>
      <c r="T71" s="23">
        <v>45425</v>
      </c>
      <c r="U71" s="23">
        <v>45425</v>
      </c>
      <c r="V71" s="24">
        <v>0.97</v>
      </c>
      <c r="W71" s="24"/>
      <c r="X71" s="24"/>
      <c r="Y71" s="24"/>
      <c r="Z71" s="21" t="s">
        <v>149</v>
      </c>
      <c r="AA71" s="21">
        <v>3600</v>
      </c>
      <c r="AB71" s="21">
        <v>3600</v>
      </c>
      <c r="AC71" s="21" t="s">
        <v>46</v>
      </c>
      <c r="AD71" s="2">
        <v>45423</v>
      </c>
      <c r="AE71" s="2"/>
      <c r="AF71" s="1"/>
    </row>
    <row r="72" spans="1:32">
      <c r="D72" s="151">
        <v>70</v>
      </c>
      <c r="E72" s="21" t="s">
        <v>166</v>
      </c>
      <c r="F72" s="22" t="s">
        <v>167</v>
      </c>
      <c r="G72" s="21" t="s">
        <v>83</v>
      </c>
      <c r="H72" s="44" t="str">
        <f>CONCATENATE(E72,"_",F72,"_",G72)</f>
        <v>A027_Riyansh Pawar_A04</v>
      </c>
      <c r="I72" s="30" t="s">
        <v>35</v>
      </c>
      <c r="J72" s="22" t="s">
        <v>84</v>
      </c>
      <c r="K72" s="21">
        <v>400</v>
      </c>
      <c r="L72" s="21">
        <v>400</v>
      </c>
      <c r="M72" s="23">
        <v>45416</v>
      </c>
      <c r="N72" s="23">
        <v>45425</v>
      </c>
      <c r="O72" s="23">
        <v>45425</v>
      </c>
      <c r="P72" s="21" t="s">
        <v>168</v>
      </c>
      <c r="Q72" s="23">
        <v>45458</v>
      </c>
      <c r="R72" s="74">
        <f ca="1">(IF(Q72="",(TODAY()-O72),(Q72-O72)))/30</f>
        <v>1.1000000000000001</v>
      </c>
      <c r="S72" s="44">
        <f ca="1">ROUNDUP(R72*8,0)</f>
        <v>9</v>
      </c>
      <c r="T72" s="23">
        <v>45458</v>
      </c>
      <c r="U72" s="23">
        <v>45458</v>
      </c>
      <c r="V72" s="24">
        <v>0.92</v>
      </c>
      <c r="W72" s="24"/>
      <c r="X72" s="24"/>
      <c r="Y72" s="24"/>
      <c r="Z72" s="21" t="s">
        <v>149</v>
      </c>
      <c r="AA72" s="21">
        <v>3600</v>
      </c>
      <c r="AB72" s="21">
        <v>3600</v>
      </c>
      <c r="AC72" s="21" t="s">
        <v>46</v>
      </c>
      <c r="AD72" s="2">
        <v>45457</v>
      </c>
      <c r="AE72" s="2"/>
      <c r="AF72" s="1"/>
    </row>
    <row r="73" spans="1:32">
      <c r="D73" s="151">
        <v>71</v>
      </c>
      <c r="E73" s="21" t="s">
        <v>166</v>
      </c>
      <c r="F73" s="22" t="s">
        <v>167</v>
      </c>
      <c r="G73" s="21" t="s">
        <v>85</v>
      </c>
      <c r="H73" s="44" t="str">
        <f>CONCATENATE(E73,"_",F73,"_",G73)</f>
        <v>A027_Riyansh Pawar_A05</v>
      </c>
      <c r="I73" s="30" t="s">
        <v>35</v>
      </c>
      <c r="J73" s="22" t="s">
        <v>86</v>
      </c>
      <c r="K73" s="21">
        <v>400</v>
      </c>
      <c r="L73" s="21">
        <v>400</v>
      </c>
      <c r="M73" s="23">
        <v>45457</v>
      </c>
      <c r="N73" s="36">
        <v>45460</v>
      </c>
      <c r="O73" s="36">
        <v>45461</v>
      </c>
      <c r="P73" s="21" t="s">
        <v>168</v>
      </c>
      <c r="Q73" s="23">
        <v>45524</v>
      </c>
      <c r="R73" s="74">
        <f ca="1">(IF(Q73="",(TODAY()-O73),(Q73-O73)))/30</f>
        <v>2.1</v>
      </c>
      <c r="S73" s="44">
        <f ca="1">ROUNDUP(R73*8,0)</f>
        <v>17</v>
      </c>
      <c r="T73" s="23">
        <v>45524</v>
      </c>
      <c r="U73" s="23">
        <v>45524</v>
      </c>
      <c r="V73" s="24">
        <v>0.99</v>
      </c>
      <c r="W73" s="24"/>
      <c r="X73" s="24"/>
      <c r="Y73" s="24"/>
      <c r="Z73" s="21" t="s">
        <v>47</v>
      </c>
      <c r="AA73" s="21">
        <v>3600</v>
      </c>
      <c r="AB73" s="21">
        <v>3600</v>
      </c>
      <c r="AC73" s="21" t="s">
        <v>46</v>
      </c>
      <c r="AD73" s="2">
        <v>45525</v>
      </c>
      <c r="AE73" s="1"/>
      <c r="AF73" s="1"/>
    </row>
    <row r="74" spans="1:32">
      <c r="D74" s="151">
        <v>72</v>
      </c>
      <c r="E74" s="21" t="s">
        <v>166</v>
      </c>
      <c r="F74" s="22" t="s">
        <v>167</v>
      </c>
      <c r="G74" s="21" t="s">
        <v>102</v>
      </c>
      <c r="H74" s="44" t="str">
        <f>CONCATENATE(E74,"_",F74,"_",G74)</f>
        <v>A027_Riyansh Pawar_A06</v>
      </c>
      <c r="I74" s="30" t="s">
        <v>35</v>
      </c>
      <c r="J74" s="22" t="s">
        <v>103</v>
      </c>
      <c r="K74" s="21">
        <v>400</v>
      </c>
      <c r="L74" s="21">
        <v>400</v>
      </c>
      <c r="M74" s="23">
        <v>45525</v>
      </c>
      <c r="N74" s="35">
        <v>45524</v>
      </c>
      <c r="O74" s="35">
        <v>45526</v>
      </c>
      <c r="P74" s="21" t="s">
        <v>168</v>
      </c>
      <c r="Q74" s="23">
        <v>45575</v>
      </c>
      <c r="R74" s="74">
        <f ca="1">(IF(Q74="",(TODAY()-O74),(Q74-O74)))/30</f>
        <v>1.6333333333333333</v>
      </c>
      <c r="S74" s="44">
        <f ca="1">ROUNDUP(R74*8,0)</f>
        <v>14</v>
      </c>
      <c r="T74" s="23">
        <v>45575</v>
      </c>
      <c r="U74" s="23">
        <v>45575</v>
      </c>
      <c r="V74" s="24">
        <v>0.99329999999999996</v>
      </c>
      <c r="W74" s="24"/>
      <c r="X74" s="24"/>
      <c r="Y74" s="24"/>
      <c r="Z74" s="21" t="s">
        <v>47</v>
      </c>
      <c r="AA74" s="21">
        <v>3600</v>
      </c>
      <c r="AB74" s="21">
        <v>3600</v>
      </c>
      <c r="AC74" s="21" t="s">
        <v>46</v>
      </c>
      <c r="AD74" s="2">
        <v>45576</v>
      </c>
      <c r="AE74" s="1"/>
      <c r="AF74" s="1"/>
    </row>
    <row r="75" spans="1:32">
      <c r="D75" s="151">
        <v>73</v>
      </c>
      <c r="E75" s="21" t="s">
        <v>166</v>
      </c>
      <c r="F75" s="22" t="s">
        <v>167</v>
      </c>
      <c r="G75" s="21" t="s">
        <v>108</v>
      </c>
      <c r="H75" s="44" t="str">
        <f>CONCATENATE(E75,"_",F75,"_",G75)</f>
        <v>A027_Riyansh Pawar_A07</v>
      </c>
      <c r="I75" s="21" t="s">
        <v>35</v>
      </c>
      <c r="J75" s="22" t="s">
        <v>109</v>
      </c>
      <c r="K75" s="21">
        <v>400</v>
      </c>
      <c r="L75" s="21">
        <v>400</v>
      </c>
      <c r="M75" s="23">
        <v>45576</v>
      </c>
      <c r="N75" s="35">
        <v>45575</v>
      </c>
      <c r="O75" s="35">
        <v>45575</v>
      </c>
      <c r="P75" s="21" t="s">
        <v>168</v>
      </c>
      <c r="Q75" s="23">
        <v>45667</v>
      </c>
      <c r="R75" s="74">
        <f ca="1">(IF(Q75="",(TODAY()-O75),(Q75-O75)))/30</f>
        <v>3.0666666666666669</v>
      </c>
      <c r="S75" s="44">
        <f ca="1">ROUNDUP(R75*8,0)</f>
        <v>25</v>
      </c>
      <c r="T75" s="23">
        <v>45667</v>
      </c>
      <c r="U75" s="23">
        <v>45667</v>
      </c>
      <c r="V75" s="24">
        <v>0.9375</v>
      </c>
      <c r="W75" s="24"/>
      <c r="X75" s="24"/>
      <c r="Y75" s="24"/>
      <c r="Z75" s="21" t="s">
        <v>47</v>
      </c>
      <c r="AA75" s="21">
        <v>3600</v>
      </c>
      <c r="AB75" s="21">
        <v>3600</v>
      </c>
      <c r="AC75" s="21" t="s">
        <v>46</v>
      </c>
      <c r="AD75" s="2">
        <v>45668</v>
      </c>
      <c r="AE75" s="1"/>
      <c r="AF75" s="1" t="s">
        <v>169</v>
      </c>
    </row>
    <row r="76" spans="1:32">
      <c r="D76" s="151">
        <v>74</v>
      </c>
      <c r="E76" s="21" t="s">
        <v>166</v>
      </c>
      <c r="F76" s="22" t="s">
        <v>167</v>
      </c>
      <c r="G76" s="21" t="s">
        <v>50</v>
      </c>
      <c r="H76" s="44" t="str">
        <f>CONCATENATE(E76,"_",F76,"_",G76)</f>
        <v>A027_Riyansh Pawar_A08</v>
      </c>
      <c r="I76" s="21" t="s">
        <v>35</v>
      </c>
      <c r="J76" s="22" t="s">
        <v>170</v>
      </c>
      <c r="K76" s="21">
        <v>400</v>
      </c>
      <c r="L76" s="21">
        <v>400</v>
      </c>
      <c r="M76" s="118">
        <v>45668</v>
      </c>
      <c r="N76" s="23">
        <v>45671</v>
      </c>
      <c r="O76" s="23">
        <v>45671</v>
      </c>
      <c r="P76" s="21" t="s">
        <v>168</v>
      </c>
      <c r="Q76" s="23">
        <v>45815</v>
      </c>
      <c r="R76" s="74"/>
      <c r="S76" s="44"/>
      <c r="T76" s="23">
        <v>45815</v>
      </c>
      <c r="U76" s="23">
        <v>45815</v>
      </c>
      <c r="V76" s="24">
        <v>0.87</v>
      </c>
      <c r="W76" s="24"/>
      <c r="X76" s="24"/>
      <c r="Y76" s="24"/>
      <c r="Z76" s="21" t="s">
        <v>47</v>
      </c>
      <c r="AA76" s="21">
        <v>3600</v>
      </c>
      <c r="AB76" s="21">
        <v>3600</v>
      </c>
      <c r="AC76" s="21" t="s">
        <v>68</v>
      </c>
      <c r="AD76" s="2">
        <v>45816</v>
      </c>
      <c r="AE76" s="1"/>
      <c r="AF76" s="1" t="s">
        <v>140</v>
      </c>
    </row>
    <row r="77" spans="1:32">
      <c r="A77" s="10" t="s">
        <v>164</v>
      </c>
      <c r="B77" s="10" t="s">
        <v>107</v>
      </c>
      <c r="D77" s="151">
        <v>75</v>
      </c>
      <c r="E77" s="21" t="s">
        <v>166</v>
      </c>
      <c r="F77" s="22" t="s">
        <v>167</v>
      </c>
      <c r="G77" s="21" t="s">
        <v>53</v>
      </c>
      <c r="H77" s="44" t="str">
        <f>CONCATENATE(E77,"_",F77,"_",G77)</f>
        <v>A027_Riyansh Pawar_A09</v>
      </c>
      <c r="I77" s="21" t="s">
        <v>65</v>
      </c>
      <c r="J77" s="22" t="s">
        <v>171</v>
      </c>
      <c r="K77" s="21">
        <v>400</v>
      </c>
      <c r="L77" s="21">
        <v>400</v>
      </c>
      <c r="M77" s="118">
        <v>45816</v>
      </c>
      <c r="N77" s="23">
        <v>45816</v>
      </c>
      <c r="O77" s="23">
        <v>45816</v>
      </c>
      <c r="P77" s="21" t="s">
        <v>168</v>
      </c>
      <c r="Q77" s="23"/>
      <c r="R77" s="74"/>
      <c r="S77" s="44"/>
      <c r="T77" s="23"/>
      <c r="U77" s="23"/>
      <c r="V77" s="24"/>
      <c r="W77" s="24"/>
      <c r="X77" s="24"/>
      <c r="Y77" s="24"/>
      <c r="Z77" s="21" t="s">
        <v>47</v>
      </c>
      <c r="AA77" s="21">
        <v>3600</v>
      </c>
      <c r="AB77" s="21"/>
      <c r="AC77" s="21"/>
      <c r="AD77" s="2"/>
      <c r="AE77" s="1"/>
      <c r="AF77" s="1"/>
    </row>
    <row r="78" spans="1:32">
      <c r="D78" s="151">
        <v>76</v>
      </c>
      <c r="E78" s="151" t="s">
        <v>172</v>
      </c>
      <c r="F78" s="22" t="s">
        <v>173</v>
      </c>
      <c r="G78" s="21" t="s">
        <v>40</v>
      </c>
      <c r="H78" s="44" t="str">
        <f>CONCATENATE(E78,"_",F78,"_",G78)</f>
        <v>A028_Jyotiraditya Jagtap_A03</v>
      </c>
      <c r="I78" s="30" t="s">
        <v>35</v>
      </c>
      <c r="J78" s="22" t="s">
        <v>41</v>
      </c>
      <c r="K78" s="21">
        <v>1600</v>
      </c>
      <c r="L78" s="21">
        <v>1600</v>
      </c>
      <c r="M78" s="23">
        <v>45386</v>
      </c>
      <c r="N78" s="23">
        <v>45386</v>
      </c>
      <c r="O78" s="23">
        <v>45385</v>
      </c>
      <c r="P78" s="21" t="s">
        <v>162</v>
      </c>
      <c r="Q78" s="36">
        <v>45427</v>
      </c>
      <c r="R78" s="74">
        <f ca="1">(IF(Q78="",(TODAY()-O78),(Q78-O78)))/30</f>
        <v>1.4</v>
      </c>
      <c r="S78" s="44">
        <f ca="1">ROUNDUP(R78*8,0)</f>
        <v>12</v>
      </c>
      <c r="T78" s="21"/>
      <c r="U78" s="21"/>
      <c r="V78" s="24">
        <v>1</v>
      </c>
      <c r="W78" s="24"/>
      <c r="X78" s="24"/>
      <c r="Y78" s="24"/>
      <c r="Z78" s="21" t="s">
        <v>47</v>
      </c>
      <c r="AA78" s="21">
        <v>3600</v>
      </c>
      <c r="AB78" s="21">
        <v>3600</v>
      </c>
      <c r="AC78" s="21" t="s">
        <v>107</v>
      </c>
      <c r="AD78" s="2">
        <v>45430</v>
      </c>
      <c r="AE78" s="2"/>
      <c r="AF78" s="1"/>
    </row>
    <row r="79" spans="1:32">
      <c r="D79" s="151">
        <v>77</v>
      </c>
      <c r="E79" s="151" t="s">
        <v>172</v>
      </c>
      <c r="F79" s="22" t="s">
        <v>173</v>
      </c>
      <c r="G79" s="21" t="s">
        <v>83</v>
      </c>
      <c r="H79" s="44" t="str">
        <f>CONCATENATE(E79,"_",F79,"_",G79)</f>
        <v>A028_Jyotiraditya Jagtap_A04</v>
      </c>
      <c r="I79" s="30" t="s">
        <v>35</v>
      </c>
      <c r="J79" s="22" t="s">
        <v>84</v>
      </c>
      <c r="K79" s="21">
        <v>400</v>
      </c>
      <c r="L79" s="21">
        <v>400</v>
      </c>
      <c r="M79" s="23">
        <v>45430</v>
      </c>
      <c r="N79" s="23">
        <v>45430</v>
      </c>
      <c r="O79" s="23">
        <v>45430</v>
      </c>
      <c r="P79" s="21" t="s">
        <v>145</v>
      </c>
      <c r="Q79" s="23">
        <v>45474</v>
      </c>
      <c r="R79" s="74">
        <f ca="1">(IF(Q79="",(TODAY()-O79),(Q79-O79)))/30</f>
        <v>1.4666666666666666</v>
      </c>
      <c r="S79" s="44">
        <f ca="1">ROUNDUP(R79*8,0)</f>
        <v>12</v>
      </c>
      <c r="T79" s="23">
        <v>45474</v>
      </c>
      <c r="U79" s="23">
        <v>45474</v>
      </c>
      <c r="V79" s="24">
        <v>1</v>
      </c>
      <c r="W79" s="24"/>
      <c r="X79" s="24"/>
      <c r="Y79" s="24"/>
      <c r="Z79" s="21" t="s">
        <v>47</v>
      </c>
      <c r="AA79" s="21">
        <v>3600</v>
      </c>
      <c r="AB79" s="21">
        <v>3600</v>
      </c>
      <c r="AC79" s="21" t="s">
        <v>46</v>
      </c>
      <c r="AD79" s="2">
        <v>45481</v>
      </c>
      <c r="AE79" s="1"/>
      <c r="AF79" s="1"/>
    </row>
    <row r="80" spans="1:32">
      <c r="D80" s="151">
        <v>78</v>
      </c>
      <c r="E80" s="151" t="s">
        <v>172</v>
      </c>
      <c r="F80" s="22" t="s">
        <v>173</v>
      </c>
      <c r="G80" s="21" t="s">
        <v>85</v>
      </c>
      <c r="H80" s="44" t="str">
        <f>CONCATENATE(E80,"_",F80,"_",G80)</f>
        <v>A028_Jyotiraditya Jagtap_A05</v>
      </c>
      <c r="I80" s="30" t="s">
        <v>35</v>
      </c>
      <c r="J80" s="22" t="s">
        <v>86</v>
      </c>
      <c r="K80" s="21">
        <v>400</v>
      </c>
      <c r="L80" s="21">
        <v>400</v>
      </c>
      <c r="M80" s="23">
        <v>45474</v>
      </c>
      <c r="N80" s="23">
        <v>45474</v>
      </c>
      <c r="O80" s="23">
        <v>45474</v>
      </c>
      <c r="P80" s="21" t="s">
        <v>145</v>
      </c>
      <c r="Q80" s="23">
        <v>45539</v>
      </c>
      <c r="R80" s="74">
        <f ca="1">(IF(Q80="",(TODAY()-O80),(Q80-O80)))/30</f>
        <v>2.1666666666666665</v>
      </c>
      <c r="S80" s="44">
        <f ca="1">ROUNDUP(R80*8,0)</f>
        <v>18</v>
      </c>
      <c r="T80" s="23">
        <v>45539</v>
      </c>
      <c r="U80" s="23">
        <v>45539</v>
      </c>
      <c r="V80" s="24">
        <v>0.98</v>
      </c>
      <c r="W80" s="24"/>
      <c r="X80" s="24"/>
      <c r="Y80" s="24"/>
      <c r="Z80" s="21" t="s">
        <v>47</v>
      </c>
      <c r="AA80" s="21">
        <v>3600</v>
      </c>
      <c r="AB80" s="21">
        <v>3600</v>
      </c>
      <c r="AC80" s="21" t="s">
        <v>46</v>
      </c>
      <c r="AD80" s="2">
        <v>45544</v>
      </c>
      <c r="AE80" s="1"/>
      <c r="AF80" s="1"/>
    </row>
    <row r="81" spans="1:32">
      <c r="D81" s="151">
        <v>79</v>
      </c>
      <c r="E81" s="151" t="s">
        <v>172</v>
      </c>
      <c r="F81" s="22" t="s">
        <v>173</v>
      </c>
      <c r="G81" s="21" t="s">
        <v>102</v>
      </c>
      <c r="H81" s="44"/>
      <c r="I81" s="21" t="s">
        <v>35</v>
      </c>
      <c r="J81" s="22" t="s">
        <v>174</v>
      </c>
      <c r="K81" s="21">
        <v>400</v>
      </c>
      <c r="L81" s="21">
        <v>400</v>
      </c>
      <c r="M81" s="23">
        <v>45539</v>
      </c>
      <c r="N81" s="23">
        <v>45539</v>
      </c>
      <c r="O81" s="23">
        <v>45544</v>
      </c>
      <c r="P81" s="21" t="s">
        <v>145</v>
      </c>
      <c r="Q81" s="23">
        <v>45705</v>
      </c>
      <c r="R81" s="74">
        <f ca="1">(IF(Q81="",(TODAY()-O81),(Q81-O81)))/30</f>
        <v>5.3666666666666663</v>
      </c>
      <c r="S81" s="44">
        <f ca="1">ROUNDUP(R81*8,0)</f>
        <v>43</v>
      </c>
      <c r="T81" s="23">
        <v>45705</v>
      </c>
      <c r="U81" s="23">
        <v>45705</v>
      </c>
      <c r="V81" s="24">
        <v>1</v>
      </c>
      <c r="W81" s="24" t="s">
        <v>68</v>
      </c>
      <c r="X81" s="24">
        <v>4</v>
      </c>
      <c r="Y81" s="24"/>
      <c r="Z81" s="21" t="s">
        <v>175</v>
      </c>
      <c r="AA81" s="21">
        <v>3600</v>
      </c>
      <c r="AB81" s="21">
        <v>4600</v>
      </c>
      <c r="AC81" s="21" t="s">
        <v>61</v>
      </c>
      <c r="AD81" s="2">
        <v>45719</v>
      </c>
      <c r="AE81" s="1">
        <v>4</v>
      </c>
      <c r="AF81" s="1" t="s">
        <v>176</v>
      </c>
    </row>
    <row r="82" spans="1:32">
      <c r="A82" s="10" t="s">
        <v>177</v>
      </c>
      <c r="B82" s="10" t="s">
        <v>107</v>
      </c>
      <c r="D82" s="151">
        <v>80</v>
      </c>
      <c r="E82" s="151" t="s">
        <v>172</v>
      </c>
      <c r="F82" s="22" t="s">
        <v>173</v>
      </c>
      <c r="G82" s="21" t="s">
        <v>108</v>
      </c>
      <c r="H82" s="44"/>
      <c r="I82" s="21" t="s">
        <v>65</v>
      </c>
      <c r="J82" s="22" t="s">
        <v>109</v>
      </c>
      <c r="K82" s="21">
        <v>400</v>
      </c>
      <c r="L82" s="21">
        <v>400</v>
      </c>
      <c r="M82" s="23">
        <v>45719</v>
      </c>
      <c r="N82" s="23">
        <v>45712</v>
      </c>
      <c r="O82" s="23">
        <v>45712</v>
      </c>
      <c r="P82" s="21" t="s">
        <v>145</v>
      </c>
      <c r="Q82" s="23"/>
      <c r="R82" s="74">
        <f ca="1">(IF(Q82="",(TODAY()-O82),(Q82-O82)))/30</f>
        <v>9.1333333333333329</v>
      </c>
      <c r="S82" s="44"/>
      <c r="T82" s="23"/>
      <c r="U82" s="23"/>
      <c r="V82" s="24"/>
      <c r="W82" s="24"/>
      <c r="X82" s="24"/>
      <c r="Y82" s="24"/>
      <c r="Z82" s="21" t="s">
        <v>47</v>
      </c>
      <c r="AA82" s="21">
        <v>3600</v>
      </c>
      <c r="AB82" s="21"/>
      <c r="AC82" s="21" t="s">
        <v>110</v>
      </c>
      <c r="AD82" s="2"/>
      <c r="AE82" s="1"/>
      <c r="AF82" s="1"/>
    </row>
    <row r="83" spans="1:32">
      <c r="D83" s="151">
        <v>81</v>
      </c>
      <c r="E83" s="151" t="s">
        <v>178</v>
      </c>
      <c r="F83" s="22" t="s">
        <v>179</v>
      </c>
      <c r="G83" s="21" t="s">
        <v>40</v>
      </c>
      <c r="H83" s="44" t="str">
        <f>CONCATENATE(E83,"_",F83,"_",G83)</f>
        <v>A029_Vikramaditya Jagtap_A03</v>
      </c>
      <c r="I83" s="30" t="s">
        <v>35</v>
      </c>
      <c r="J83" s="22" t="s">
        <v>41</v>
      </c>
      <c r="K83" s="21">
        <v>1600</v>
      </c>
      <c r="L83" s="21">
        <v>1600</v>
      </c>
      <c r="M83" s="23">
        <v>45386</v>
      </c>
      <c r="N83" s="23">
        <v>45386</v>
      </c>
      <c r="O83" s="23">
        <v>45385</v>
      </c>
      <c r="P83" s="21" t="s">
        <v>162</v>
      </c>
      <c r="Q83" s="36">
        <v>45427</v>
      </c>
      <c r="R83" s="74">
        <f ca="1">(IF(Q83="",(TODAY()-O83),(Q83-O83)))/30</f>
        <v>1.4</v>
      </c>
      <c r="S83" s="44">
        <f ca="1">ROUNDUP(R83*8,0)</f>
        <v>12</v>
      </c>
      <c r="T83" s="21"/>
      <c r="U83" s="21"/>
      <c r="V83" s="40">
        <v>0.98</v>
      </c>
      <c r="W83" s="40"/>
      <c r="X83" s="40"/>
      <c r="Y83" s="40"/>
      <c r="Z83" s="21" t="s">
        <v>47</v>
      </c>
      <c r="AA83" s="21">
        <v>3600</v>
      </c>
      <c r="AB83" s="21">
        <v>3600</v>
      </c>
      <c r="AC83" s="21" t="s">
        <v>46</v>
      </c>
      <c r="AD83" s="2">
        <v>45430</v>
      </c>
      <c r="AE83" s="2"/>
      <c r="AF83" s="1"/>
    </row>
    <row r="84" spans="1:32">
      <c r="D84" s="151">
        <v>82</v>
      </c>
      <c r="E84" s="151" t="s">
        <v>178</v>
      </c>
      <c r="F84" s="22" t="s">
        <v>179</v>
      </c>
      <c r="G84" s="21" t="s">
        <v>83</v>
      </c>
      <c r="H84" s="44" t="str">
        <f>CONCATENATE(E84,"_",F84,"_",G84)</f>
        <v>A029_Vikramaditya Jagtap_A04</v>
      </c>
      <c r="I84" s="30" t="s">
        <v>35</v>
      </c>
      <c r="J84" s="22" t="s">
        <v>84</v>
      </c>
      <c r="K84" s="21">
        <v>400</v>
      </c>
      <c r="L84" s="21">
        <v>400</v>
      </c>
      <c r="M84" s="23">
        <v>45430</v>
      </c>
      <c r="N84" s="23">
        <v>45430</v>
      </c>
      <c r="O84" s="23">
        <v>45430</v>
      </c>
      <c r="P84" s="21" t="s">
        <v>145</v>
      </c>
      <c r="Q84" s="23">
        <v>45490</v>
      </c>
      <c r="R84" s="74">
        <f ca="1">(IF(Q84="",(TODAY()-O84),(Q84-O84)))/30</f>
        <v>2</v>
      </c>
      <c r="S84" s="44">
        <f ca="1">ROUNDUP(R84*8,0)</f>
        <v>16</v>
      </c>
      <c r="T84" s="23">
        <v>45490</v>
      </c>
      <c r="U84" s="23">
        <v>45490</v>
      </c>
      <c r="V84" s="24">
        <v>0.98</v>
      </c>
      <c r="W84" s="24"/>
      <c r="X84" s="24"/>
      <c r="Y84" s="24"/>
      <c r="Z84" s="21" t="s">
        <v>47</v>
      </c>
      <c r="AA84" s="21">
        <v>3600</v>
      </c>
      <c r="AB84" s="21">
        <v>3600</v>
      </c>
      <c r="AC84" s="21" t="s">
        <v>46</v>
      </c>
      <c r="AD84" s="2">
        <v>45492</v>
      </c>
      <c r="AE84" s="1"/>
      <c r="AF84" s="1"/>
    </row>
    <row r="85" spans="1:32">
      <c r="D85" s="151">
        <v>83</v>
      </c>
      <c r="E85" s="21" t="s">
        <v>178</v>
      </c>
      <c r="F85" s="22" t="s">
        <v>179</v>
      </c>
      <c r="G85" s="21" t="s">
        <v>85</v>
      </c>
      <c r="H85" s="44" t="str">
        <f>CONCATENATE(E85,"_",F85,"_",G85)</f>
        <v>A029_Vikramaditya Jagtap_A05</v>
      </c>
      <c r="I85" s="21" t="s">
        <v>150</v>
      </c>
      <c r="J85" s="22" t="s">
        <v>86</v>
      </c>
      <c r="K85" s="21">
        <v>400</v>
      </c>
      <c r="L85" s="21">
        <v>400</v>
      </c>
      <c r="M85" s="23">
        <v>45490</v>
      </c>
      <c r="N85" s="23">
        <v>45490</v>
      </c>
      <c r="O85" s="23">
        <v>45490</v>
      </c>
      <c r="P85" s="21" t="s">
        <v>145</v>
      </c>
      <c r="Q85" s="23">
        <v>45705</v>
      </c>
      <c r="R85" s="74">
        <f ca="1">(IF(Q85="",(TODAY()-O85),(Q85-O85)))/30</f>
        <v>7.166666666666667</v>
      </c>
      <c r="S85" s="44">
        <f ca="1">ROUNDUP(R85*8,0)</f>
        <v>58</v>
      </c>
      <c r="T85" s="23">
        <v>45705</v>
      </c>
      <c r="U85" s="23">
        <v>45705</v>
      </c>
      <c r="V85" s="24">
        <v>0.89</v>
      </c>
      <c r="W85" s="24" t="s">
        <v>110</v>
      </c>
      <c r="X85" s="24"/>
      <c r="Y85" s="24"/>
      <c r="Z85" s="21" t="s">
        <v>47</v>
      </c>
      <c r="AA85" s="21">
        <v>3600</v>
      </c>
      <c r="AB85" s="21">
        <v>3600</v>
      </c>
      <c r="AC85" s="21" t="s">
        <v>46</v>
      </c>
      <c r="AD85" s="2">
        <v>45719</v>
      </c>
      <c r="AE85" s="1">
        <v>6</v>
      </c>
      <c r="AF85" s="1" t="s">
        <v>176</v>
      </c>
    </row>
    <row r="86" spans="1:32">
      <c r="A86" s="10" t="s">
        <v>177</v>
      </c>
      <c r="B86" s="10" t="s">
        <v>107</v>
      </c>
      <c r="D86" s="151">
        <v>84</v>
      </c>
      <c r="E86" s="21" t="s">
        <v>178</v>
      </c>
      <c r="F86" s="22" t="s">
        <v>179</v>
      </c>
      <c r="G86" s="21" t="s">
        <v>102</v>
      </c>
      <c r="H86" s="44"/>
      <c r="I86" s="21" t="s">
        <v>65</v>
      </c>
      <c r="J86" s="22" t="s">
        <v>163</v>
      </c>
      <c r="K86" s="21">
        <v>400</v>
      </c>
      <c r="L86" s="21">
        <v>400</v>
      </c>
      <c r="M86" s="23">
        <v>45712</v>
      </c>
      <c r="N86" s="23">
        <v>45712</v>
      </c>
      <c r="O86" s="23">
        <v>45712</v>
      </c>
      <c r="P86" s="21" t="s">
        <v>145</v>
      </c>
      <c r="Q86" s="23"/>
      <c r="R86" s="74"/>
      <c r="S86" s="44"/>
      <c r="T86" s="23"/>
      <c r="U86" s="23"/>
      <c r="V86" s="24"/>
      <c r="W86" s="24"/>
      <c r="X86" s="24"/>
      <c r="Y86" s="24"/>
      <c r="Z86" s="21" t="s">
        <v>47</v>
      </c>
      <c r="AA86" s="21"/>
      <c r="AB86" s="21"/>
      <c r="AC86" s="21"/>
      <c r="AD86" s="1"/>
      <c r="AE86" s="1"/>
      <c r="AF86" s="1"/>
    </row>
    <row r="87" spans="1:32">
      <c r="D87" s="151">
        <v>85</v>
      </c>
      <c r="E87" s="25" t="s">
        <v>180</v>
      </c>
      <c r="F87" s="26" t="s">
        <v>181</v>
      </c>
      <c r="G87" s="25" t="s">
        <v>40</v>
      </c>
      <c r="H87" s="25" t="str">
        <f>CONCATENATE(E87,"_",F87,"_",G87)</f>
        <v>A030_Swastika Yadhav_A03</v>
      </c>
      <c r="I87" s="25" t="s">
        <v>35</v>
      </c>
      <c r="J87" s="26" t="s">
        <v>41</v>
      </c>
      <c r="K87" s="25">
        <v>1600</v>
      </c>
      <c r="L87" s="25">
        <v>1600</v>
      </c>
      <c r="M87" s="27">
        <v>45386</v>
      </c>
      <c r="N87" s="27">
        <v>45386</v>
      </c>
      <c r="O87" s="27">
        <v>45385</v>
      </c>
      <c r="P87" s="25" t="s">
        <v>162</v>
      </c>
      <c r="Q87" s="27">
        <v>45427</v>
      </c>
      <c r="R87" s="91">
        <f ca="1">(IF(Q87="",(TODAY()-O87),(Q87-O87)))/30</f>
        <v>1.4</v>
      </c>
      <c r="S87" s="25">
        <f ca="1">ROUNDUP(R87*8,0)</f>
        <v>12</v>
      </c>
      <c r="T87" s="25"/>
      <c r="U87" s="25"/>
      <c r="V87" s="28">
        <v>0.94</v>
      </c>
      <c r="W87" s="28"/>
      <c r="X87" s="28"/>
      <c r="Y87" s="28"/>
      <c r="Z87" s="25" t="s">
        <v>47</v>
      </c>
      <c r="AA87" s="25">
        <v>3600</v>
      </c>
      <c r="AB87" s="25">
        <v>3600</v>
      </c>
      <c r="AC87" s="25" t="s">
        <v>46</v>
      </c>
      <c r="AD87" s="38">
        <v>45430</v>
      </c>
      <c r="AE87" s="38"/>
      <c r="AF87" s="29"/>
    </row>
    <row r="88" spans="1:32">
      <c r="D88" s="151">
        <v>86</v>
      </c>
      <c r="E88" s="25" t="s">
        <v>180</v>
      </c>
      <c r="F88" s="26" t="s">
        <v>181</v>
      </c>
      <c r="G88" s="25" t="s">
        <v>83</v>
      </c>
      <c r="H88" s="25" t="str">
        <f>CONCATENATE(E88,"_",F88,"_",G88)</f>
        <v>A030_Swastika Yadhav_A04</v>
      </c>
      <c r="I88" s="25" t="s">
        <v>35</v>
      </c>
      <c r="J88" s="26" t="s">
        <v>84</v>
      </c>
      <c r="K88" s="25">
        <v>400</v>
      </c>
      <c r="L88" s="25">
        <v>400</v>
      </c>
      <c r="M88" s="27">
        <v>45430</v>
      </c>
      <c r="N88" s="27">
        <v>45430</v>
      </c>
      <c r="O88" s="27">
        <v>45430</v>
      </c>
      <c r="P88" s="25" t="s">
        <v>145</v>
      </c>
      <c r="Q88" s="27">
        <v>45474</v>
      </c>
      <c r="R88" s="91">
        <f ca="1">(IF(Q88="",(TODAY()-O88),(Q88-O88)))/30</f>
        <v>1.4666666666666666</v>
      </c>
      <c r="S88" s="25">
        <f ca="1">ROUNDUP(R88*8,0)</f>
        <v>12</v>
      </c>
      <c r="T88" s="27">
        <v>45474</v>
      </c>
      <c r="U88" s="27">
        <v>45474</v>
      </c>
      <c r="V88" s="28">
        <v>0.98</v>
      </c>
      <c r="W88" s="28"/>
      <c r="X88" s="28"/>
      <c r="Y88" s="28"/>
      <c r="Z88" s="25" t="s">
        <v>47</v>
      </c>
      <c r="AA88" s="25">
        <v>3600</v>
      </c>
      <c r="AB88" s="25">
        <v>3600</v>
      </c>
      <c r="AC88" s="25" t="s">
        <v>46</v>
      </c>
      <c r="AD88" s="38">
        <v>45476</v>
      </c>
      <c r="AE88" s="29"/>
      <c r="AF88" s="29"/>
    </row>
    <row r="89" spans="1:32">
      <c r="D89" s="151">
        <v>87</v>
      </c>
      <c r="E89" s="25" t="s">
        <v>180</v>
      </c>
      <c r="F89" s="26" t="s">
        <v>181</v>
      </c>
      <c r="G89" s="25" t="s">
        <v>85</v>
      </c>
      <c r="H89" s="25" t="str">
        <f>CONCATENATE(E89,"_",F89,"_",G89)</f>
        <v>A030_Swastika Yadhav_A05</v>
      </c>
      <c r="I89" s="25" t="s">
        <v>35</v>
      </c>
      <c r="J89" s="26" t="s">
        <v>86</v>
      </c>
      <c r="K89" s="25">
        <v>400</v>
      </c>
      <c r="L89" s="25">
        <v>400</v>
      </c>
      <c r="M89" s="27">
        <v>45476</v>
      </c>
      <c r="N89" s="27">
        <v>45474</v>
      </c>
      <c r="O89" s="27">
        <v>45474</v>
      </c>
      <c r="P89" s="25" t="s">
        <v>145</v>
      </c>
      <c r="Q89" s="27">
        <v>45544</v>
      </c>
      <c r="R89" s="91">
        <f ca="1">(IF(Q89="",(TODAY()-O89),(Q89-O89)))/30</f>
        <v>2.3333333333333335</v>
      </c>
      <c r="S89" s="25">
        <f ca="1">ROUNDUP(R89*8,0)</f>
        <v>19</v>
      </c>
      <c r="T89" s="27">
        <v>45544</v>
      </c>
      <c r="U89" s="27">
        <v>45544</v>
      </c>
      <c r="V89" s="28">
        <v>0.96</v>
      </c>
      <c r="W89" s="28"/>
      <c r="X89" s="28"/>
      <c r="Y89" s="28"/>
      <c r="Z89" s="25" t="s">
        <v>47</v>
      </c>
      <c r="AA89" s="25">
        <v>3600</v>
      </c>
      <c r="AB89" s="25">
        <v>3600</v>
      </c>
      <c r="AC89" s="25" t="s">
        <v>46</v>
      </c>
      <c r="AD89" s="38">
        <v>45562</v>
      </c>
      <c r="AE89" s="29"/>
      <c r="AF89" s="29"/>
    </row>
    <row r="90" spans="1:32">
      <c r="D90" s="151">
        <v>88</v>
      </c>
      <c r="E90" s="25" t="s">
        <v>180</v>
      </c>
      <c r="F90" s="26" t="s">
        <v>181</v>
      </c>
      <c r="G90" s="25" t="s">
        <v>102</v>
      </c>
      <c r="H90" s="25" t="str">
        <f>CONCATENATE(E90,"_",F90,"_",G90)</f>
        <v>A030_Swastika Yadhav_A06</v>
      </c>
      <c r="I90" s="25" t="s">
        <v>150</v>
      </c>
      <c r="J90" s="26" t="s">
        <v>174</v>
      </c>
      <c r="K90" s="25">
        <v>400</v>
      </c>
      <c r="L90" s="25">
        <v>400</v>
      </c>
      <c r="M90" s="27">
        <v>45562</v>
      </c>
      <c r="N90" s="27">
        <v>45551</v>
      </c>
      <c r="O90" s="27">
        <v>45551</v>
      </c>
      <c r="P90" s="25" t="s">
        <v>151</v>
      </c>
      <c r="Q90" s="27">
        <v>45710</v>
      </c>
      <c r="R90" s="91">
        <f ca="1">(IF(Q90="",(TODAY()-O90),(Q90-O90)))/30</f>
        <v>5.3</v>
      </c>
      <c r="S90" s="25">
        <f ca="1">ROUNDUP(R90*8,0)</f>
        <v>43</v>
      </c>
      <c r="T90" s="27">
        <v>45710</v>
      </c>
      <c r="U90" s="27">
        <v>45710</v>
      </c>
      <c r="V90" s="28">
        <v>1</v>
      </c>
      <c r="W90" s="28" t="s">
        <v>46</v>
      </c>
      <c r="X90" s="28">
        <v>0.04</v>
      </c>
      <c r="Y90" s="28"/>
      <c r="Z90" s="25" t="s">
        <v>47</v>
      </c>
      <c r="AA90" s="25">
        <v>3600</v>
      </c>
      <c r="AB90" s="25">
        <v>3600</v>
      </c>
      <c r="AC90" s="25" t="s">
        <v>46</v>
      </c>
      <c r="AD90" s="38">
        <v>45712</v>
      </c>
      <c r="AE90" s="29"/>
      <c r="AF90" s="29" t="s">
        <v>69</v>
      </c>
    </row>
    <row r="91" spans="1:32">
      <c r="D91" s="151">
        <v>89</v>
      </c>
      <c r="E91" s="25" t="s">
        <v>180</v>
      </c>
      <c r="F91" s="26" t="s">
        <v>181</v>
      </c>
      <c r="G91" s="25" t="s">
        <v>108</v>
      </c>
      <c r="H91" s="25" t="str">
        <f>CONCATENATE(E91,"_",F91,"_",G91)</f>
        <v>A030_Swastika Yadhav_A07</v>
      </c>
      <c r="I91" s="25" t="s">
        <v>114</v>
      </c>
      <c r="J91" s="26" t="s">
        <v>182</v>
      </c>
      <c r="K91" s="25">
        <v>400</v>
      </c>
      <c r="L91" s="25"/>
      <c r="M91" s="27">
        <v>45759</v>
      </c>
      <c r="N91" s="27">
        <v>45760</v>
      </c>
      <c r="O91" s="27">
        <v>45756</v>
      </c>
      <c r="P91" s="25" t="s">
        <v>145</v>
      </c>
      <c r="Q91" s="27"/>
      <c r="R91" s="91"/>
      <c r="S91" s="25"/>
      <c r="T91" s="27"/>
      <c r="U91" s="27"/>
      <c r="V91" s="28"/>
      <c r="W91" s="28"/>
      <c r="X91" s="28"/>
      <c r="Y91" s="28"/>
      <c r="Z91" s="25" t="s">
        <v>47</v>
      </c>
      <c r="AA91" s="25">
        <v>3600</v>
      </c>
      <c r="AB91" s="25"/>
      <c r="AC91" s="25"/>
      <c r="AD91" s="38"/>
      <c r="AE91" s="29"/>
      <c r="AF91" s="29"/>
    </row>
    <row r="92" spans="1:32">
      <c r="D92" s="151">
        <v>90</v>
      </c>
      <c r="E92" s="25" t="s">
        <v>183</v>
      </c>
      <c r="F92" s="26" t="s">
        <v>184</v>
      </c>
      <c r="G92" s="25" t="s">
        <v>50</v>
      </c>
      <c r="H92" s="44" t="str">
        <f>CONCATENATE(E92,"_",F92,"_",G92)</f>
        <v>A031_Aara Y_A08</v>
      </c>
      <c r="I92" s="30" t="s">
        <v>35</v>
      </c>
      <c r="J92" s="26" t="s">
        <v>51</v>
      </c>
      <c r="K92" s="25">
        <v>1600</v>
      </c>
      <c r="L92" s="25">
        <v>1600</v>
      </c>
      <c r="M92" s="27">
        <v>45398</v>
      </c>
      <c r="N92" s="27">
        <v>45401</v>
      </c>
      <c r="O92" s="27">
        <v>45401</v>
      </c>
      <c r="P92" s="25" t="s">
        <v>168</v>
      </c>
      <c r="Q92" s="27">
        <v>45479</v>
      </c>
      <c r="R92" s="74">
        <f ca="1">(IF(Q92="",(TODAY()-O92),(Q92-O92)))/30</f>
        <v>2.6</v>
      </c>
      <c r="S92" s="44">
        <f ca="1">ROUNDUP(R92*8,0)</f>
        <v>21</v>
      </c>
      <c r="T92" s="27">
        <v>45479</v>
      </c>
      <c r="U92" s="27">
        <v>45479</v>
      </c>
      <c r="V92" s="28">
        <v>1</v>
      </c>
      <c r="W92" s="28"/>
      <c r="X92" s="28"/>
      <c r="Y92" s="28"/>
      <c r="Z92" s="25" t="s">
        <v>47</v>
      </c>
      <c r="AA92" s="25">
        <v>3600</v>
      </c>
      <c r="AB92" s="25">
        <v>3600</v>
      </c>
      <c r="AC92" s="25" t="s">
        <v>46</v>
      </c>
      <c r="AD92" s="38">
        <v>45483</v>
      </c>
      <c r="AE92" s="2"/>
      <c r="AF92" s="1"/>
    </row>
    <row r="93" spans="1:32" s="96" customFormat="1">
      <c r="A93" s="95"/>
      <c r="B93" s="95"/>
      <c r="C93" s="95"/>
      <c r="D93" s="151">
        <v>91</v>
      </c>
      <c r="E93" s="44" t="s">
        <v>185</v>
      </c>
      <c r="F93" s="45" t="s">
        <v>186</v>
      </c>
      <c r="G93" s="44" t="s">
        <v>34</v>
      </c>
      <c r="H93" s="44" t="str">
        <f>CONCATENATE(E93,"_",F93,"_",G93)</f>
        <v>A032_Nurvi Parad_A01</v>
      </c>
      <c r="I93" s="30" t="s">
        <v>35</v>
      </c>
      <c r="J93" s="45" t="s">
        <v>36</v>
      </c>
      <c r="K93" s="44">
        <v>1600</v>
      </c>
      <c r="L93" s="44">
        <v>1600</v>
      </c>
      <c r="M93" s="35">
        <v>45405</v>
      </c>
      <c r="N93" s="35">
        <v>45406</v>
      </c>
      <c r="O93" s="35">
        <v>45406</v>
      </c>
      <c r="P93" s="44" t="s">
        <v>77</v>
      </c>
      <c r="Q93" s="35">
        <v>45834</v>
      </c>
      <c r="R93" s="74">
        <f ca="1">(IF(Q93="",(TODAY()-O93),(Q93-O93)))/30</f>
        <v>14.266666666666667</v>
      </c>
      <c r="S93" s="44">
        <f ca="1">ROUNDUP(R93*8,0)</f>
        <v>115</v>
      </c>
      <c r="T93" s="44"/>
      <c r="U93" s="35">
        <v>45834</v>
      </c>
      <c r="V93" s="46">
        <v>1</v>
      </c>
      <c r="W93" s="44" t="s">
        <v>46</v>
      </c>
      <c r="X93" s="44"/>
      <c r="Y93" s="44"/>
      <c r="Z93" s="44" t="s">
        <v>47</v>
      </c>
      <c r="AA93" s="44">
        <v>3600</v>
      </c>
      <c r="AB93" s="44">
        <f>1800+1800</f>
        <v>3600</v>
      </c>
      <c r="AC93" s="44" t="s">
        <v>107</v>
      </c>
      <c r="AD93" s="54" t="s">
        <v>187</v>
      </c>
      <c r="AE93" s="54"/>
      <c r="AF93" s="47" t="s">
        <v>140</v>
      </c>
    </row>
    <row r="94" spans="1:32" s="96" customFormat="1">
      <c r="A94" s="95"/>
      <c r="B94" s="95"/>
      <c r="C94" s="95"/>
      <c r="D94" s="151">
        <v>92</v>
      </c>
      <c r="E94" s="44" t="s">
        <v>185</v>
      </c>
      <c r="F94" s="45" t="s">
        <v>186</v>
      </c>
      <c r="G94" s="44" t="s">
        <v>93</v>
      </c>
      <c r="H94" s="44" t="str">
        <f>CONCATENATE(E94,"_",F94,"_",G94)</f>
        <v>A032_Nurvi Parad_A02</v>
      </c>
      <c r="I94" s="44" t="s">
        <v>114</v>
      </c>
      <c r="J94" s="45" t="s">
        <v>94</v>
      </c>
      <c r="K94" s="44">
        <v>400</v>
      </c>
      <c r="L94" s="44">
        <v>400</v>
      </c>
      <c r="M94" s="35"/>
      <c r="N94" s="35"/>
      <c r="O94" s="35"/>
      <c r="P94" s="44"/>
      <c r="Q94" s="35"/>
      <c r="R94" s="7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54"/>
      <c r="AE94" s="54"/>
      <c r="AF94" s="47" t="s">
        <v>140</v>
      </c>
    </row>
    <row r="95" spans="1:32">
      <c r="D95" s="151">
        <v>93</v>
      </c>
      <c r="E95" s="25" t="s">
        <v>188</v>
      </c>
      <c r="F95" s="26" t="s">
        <v>189</v>
      </c>
      <c r="G95" s="25" t="s">
        <v>50</v>
      </c>
      <c r="H95" s="25" t="str">
        <f>CONCATENATE(E95,"_",F95,"_",G95)</f>
        <v>A033_Shubhra Rokade_A08</v>
      </c>
      <c r="I95" s="25" t="s">
        <v>35</v>
      </c>
      <c r="J95" s="26" t="s">
        <v>51</v>
      </c>
      <c r="K95" s="25">
        <v>1600</v>
      </c>
      <c r="L95" s="25">
        <v>1600</v>
      </c>
      <c r="M95" s="27">
        <v>45411</v>
      </c>
      <c r="N95" s="27">
        <v>45413</v>
      </c>
      <c r="O95" s="27">
        <v>45413</v>
      </c>
      <c r="P95" s="25" t="s">
        <v>162</v>
      </c>
      <c r="Q95" s="27">
        <v>45449</v>
      </c>
      <c r="R95" s="91">
        <f ca="1">(IF(Q95="",(TODAY()-O95),(Q95-O95)))/30</f>
        <v>1.2</v>
      </c>
      <c r="S95" s="25">
        <f ca="1">ROUNDUP(R95*8,0)</f>
        <v>10</v>
      </c>
      <c r="T95" s="25"/>
      <c r="U95" s="25"/>
      <c r="V95" s="28">
        <v>0.98</v>
      </c>
      <c r="W95" s="28"/>
      <c r="X95" s="28"/>
      <c r="Y95" s="28"/>
      <c r="Z95" s="25" t="s">
        <v>47</v>
      </c>
      <c r="AA95" s="25">
        <v>3600</v>
      </c>
      <c r="AB95" s="25">
        <v>3600</v>
      </c>
      <c r="AC95" s="25" t="s">
        <v>46</v>
      </c>
      <c r="AD95" s="38">
        <v>45450</v>
      </c>
      <c r="AE95" s="38"/>
      <c r="AF95" s="29"/>
    </row>
    <row r="96" spans="1:32">
      <c r="D96" s="151">
        <v>94</v>
      </c>
      <c r="E96" s="25" t="s">
        <v>188</v>
      </c>
      <c r="F96" s="26" t="s">
        <v>189</v>
      </c>
      <c r="G96" s="25" t="s">
        <v>53</v>
      </c>
      <c r="H96" s="25" t="str">
        <f>CONCATENATE(E96,"_",F96,"_",G96)</f>
        <v>A033_Shubhra Rokade_A09</v>
      </c>
      <c r="I96" s="25" t="s">
        <v>35</v>
      </c>
      <c r="J96" s="26" t="s">
        <v>54</v>
      </c>
      <c r="K96" s="25">
        <v>400</v>
      </c>
      <c r="L96" s="25">
        <v>400</v>
      </c>
      <c r="M96" s="27">
        <v>45450</v>
      </c>
      <c r="N96" s="27">
        <v>45450</v>
      </c>
      <c r="O96" s="27">
        <v>45450</v>
      </c>
      <c r="P96" s="25" t="s">
        <v>52</v>
      </c>
      <c r="Q96" s="27">
        <v>45478</v>
      </c>
      <c r="R96" s="91">
        <f ca="1">(IF(Q96="",(TODAY()-O96),(Q96-O96)))/30</f>
        <v>0.93333333333333335</v>
      </c>
      <c r="S96" s="25">
        <f ca="1">ROUNDUP(R96*8,0)</f>
        <v>8</v>
      </c>
      <c r="T96" s="27">
        <v>45478</v>
      </c>
      <c r="U96" s="27">
        <v>45478</v>
      </c>
      <c r="V96" s="28">
        <v>1</v>
      </c>
      <c r="W96" s="28"/>
      <c r="X96" s="28"/>
      <c r="Y96" s="28"/>
      <c r="Z96" s="25" t="s">
        <v>47</v>
      </c>
      <c r="AA96" s="25">
        <v>3600</v>
      </c>
      <c r="AB96" s="25">
        <v>3000</v>
      </c>
      <c r="AC96" s="25" t="s">
        <v>46</v>
      </c>
      <c r="AD96" s="38">
        <v>45482</v>
      </c>
      <c r="AE96" s="38"/>
      <c r="AF96" s="29"/>
    </row>
    <row r="97" spans="1:32">
      <c r="D97" s="151">
        <v>95</v>
      </c>
      <c r="E97" s="25" t="s">
        <v>188</v>
      </c>
      <c r="F97" s="26" t="s">
        <v>189</v>
      </c>
      <c r="G97" s="25" t="s">
        <v>55</v>
      </c>
      <c r="H97" s="25" t="str">
        <f>CONCATENATE(E97,"_",F97,"_",G97)</f>
        <v>A033_Shubhra Rokade_A10</v>
      </c>
      <c r="I97" s="25" t="s">
        <v>35</v>
      </c>
      <c r="J97" s="26" t="s">
        <v>56</v>
      </c>
      <c r="K97" s="25">
        <v>400</v>
      </c>
      <c r="L97" s="25">
        <v>400</v>
      </c>
      <c r="M97" s="27">
        <v>45481</v>
      </c>
      <c r="N97" s="27">
        <v>45481</v>
      </c>
      <c r="O97" s="27">
        <v>45481</v>
      </c>
      <c r="P97" s="25" t="s">
        <v>52</v>
      </c>
      <c r="Q97" s="27">
        <v>45549</v>
      </c>
      <c r="R97" s="91">
        <f ca="1">(IF(Q97="",(TODAY()-O97),(Q97-O97)))/30</f>
        <v>2.2666666666666666</v>
      </c>
      <c r="S97" s="25">
        <f ca="1">ROUNDUP(R97*8,0)</f>
        <v>19</v>
      </c>
      <c r="T97" s="27">
        <v>45549</v>
      </c>
      <c r="U97" s="27">
        <v>45549</v>
      </c>
      <c r="V97" s="28">
        <v>0.99109999999999998</v>
      </c>
      <c r="W97" s="28"/>
      <c r="X97" s="28"/>
      <c r="Y97" s="28"/>
      <c r="Z97" s="25" t="s">
        <v>47</v>
      </c>
      <c r="AA97" s="25">
        <v>3600</v>
      </c>
      <c r="AB97" s="25">
        <v>3000</v>
      </c>
      <c r="AC97" s="25" t="s">
        <v>61</v>
      </c>
      <c r="AD97" s="38">
        <v>45675</v>
      </c>
      <c r="AE97" s="38" t="s">
        <v>69</v>
      </c>
      <c r="AF97" s="29"/>
    </row>
    <row r="98" spans="1:32">
      <c r="D98" s="151">
        <v>96</v>
      </c>
      <c r="E98" s="25" t="s">
        <v>188</v>
      </c>
      <c r="F98" s="26" t="s">
        <v>189</v>
      </c>
      <c r="G98" s="25" t="s">
        <v>57</v>
      </c>
      <c r="H98" s="25" t="str">
        <f>CONCATENATE(E98,"_",F98,"_",G98)</f>
        <v>A033_Shubhra Rokade_A11</v>
      </c>
      <c r="I98" s="25" t="s">
        <v>150</v>
      </c>
      <c r="J98" s="26" t="s">
        <v>58</v>
      </c>
      <c r="K98" s="25">
        <v>400</v>
      </c>
      <c r="L98" s="25">
        <v>400</v>
      </c>
      <c r="M98" s="27">
        <v>45552</v>
      </c>
      <c r="N98" s="27">
        <v>45548</v>
      </c>
      <c r="O98" s="27">
        <v>45548</v>
      </c>
      <c r="P98" s="25" t="s">
        <v>52</v>
      </c>
      <c r="Q98" s="27">
        <v>45670</v>
      </c>
      <c r="R98" s="91">
        <f ca="1">(IF(Q98="",(TODAY()-O98),(Q98-O98)))/30</f>
        <v>4.0666666666666664</v>
      </c>
      <c r="S98" s="25">
        <f ca="1">ROUNDUP(R98*8,0)</f>
        <v>33</v>
      </c>
      <c r="T98" s="27">
        <v>45670</v>
      </c>
      <c r="U98" s="27">
        <v>45670</v>
      </c>
      <c r="V98" s="28">
        <v>0.86</v>
      </c>
      <c r="W98" s="28"/>
      <c r="X98" s="28"/>
      <c r="Y98" s="28"/>
      <c r="Z98" s="25" t="s">
        <v>47</v>
      </c>
      <c r="AA98" s="25">
        <v>3600</v>
      </c>
      <c r="AB98" s="25">
        <v>3600</v>
      </c>
      <c r="AC98" s="25" t="s">
        <v>68</v>
      </c>
      <c r="AD98" s="38"/>
      <c r="AE98" s="38"/>
      <c r="AF98" s="29"/>
    </row>
    <row r="99" spans="1:32">
      <c r="D99" s="151">
        <v>97</v>
      </c>
      <c r="E99" s="25" t="s">
        <v>188</v>
      </c>
      <c r="F99" s="26" t="s">
        <v>189</v>
      </c>
      <c r="G99" s="25" t="s">
        <v>59</v>
      </c>
      <c r="H99" s="25" t="str">
        <f>CONCATENATE(E99,"_",F99,"_",G99)</f>
        <v>A033_Shubhra Rokade_A12</v>
      </c>
      <c r="I99" s="25" t="s">
        <v>35</v>
      </c>
      <c r="J99" s="26" t="s">
        <v>170</v>
      </c>
      <c r="K99" s="25">
        <v>400</v>
      </c>
      <c r="L99" s="25">
        <v>400</v>
      </c>
      <c r="M99" s="27">
        <v>45675</v>
      </c>
      <c r="N99" s="27">
        <v>45679</v>
      </c>
      <c r="O99" s="27">
        <v>45679</v>
      </c>
      <c r="P99" s="25" t="s">
        <v>67</v>
      </c>
      <c r="Q99" s="27">
        <v>45847</v>
      </c>
      <c r="R99" s="91">
        <f ca="1">(IF(Q99="",(TODAY()-O99),(Q99-O99)))/30</f>
        <v>5.6</v>
      </c>
      <c r="S99" s="25">
        <f ca="1">ROUNDUP(R99*8,0)</f>
        <v>45</v>
      </c>
      <c r="T99" s="27">
        <v>45847</v>
      </c>
      <c r="U99" s="27">
        <v>45847</v>
      </c>
      <c r="V99" s="28">
        <v>0.88</v>
      </c>
      <c r="W99" s="28"/>
      <c r="X99" s="28"/>
      <c r="Y99" s="28"/>
      <c r="Z99" s="25" t="s">
        <v>190</v>
      </c>
      <c r="AA99" s="25">
        <v>3600</v>
      </c>
      <c r="AB99" s="25">
        <v>4200</v>
      </c>
      <c r="AC99" s="25" t="s">
        <v>46</v>
      </c>
      <c r="AD99" s="38">
        <v>45838</v>
      </c>
      <c r="AE99" s="38" t="s">
        <v>191</v>
      </c>
      <c r="AF99" s="29" t="s">
        <v>69</v>
      </c>
    </row>
    <row r="100" spans="1:32">
      <c r="D100" s="151">
        <v>98</v>
      </c>
      <c r="E100" s="44" t="s">
        <v>192</v>
      </c>
      <c r="F100" s="45" t="s">
        <v>193</v>
      </c>
      <c r="G100" s="44" t="s">
        <v>40</v>
      </c>
      <c r="H100" s="44" t="str">
        <f>CONCATENATE(E100,"_",F100,"_",G100)</f>
        <v>A034_Shreya Asarma_A03</v>
      </c>
      <c r="I100" s="30" t="s">
        <v>35</v>
      </c>
      <c r="J100" s="45" t="s">
        <v>41</v>
      </c>
      <c r="K100" s="44">
        <v>1600</v>
      </c>
      <c r="L100" s="44">
        <v>1600</v>
      </c>
      <c r="M100" s="35">
        <v>45416</v>
      </c>
      <c r="N100" s="35">
        <v>45416</v>
      </c>
      <c r="O100" s="35">
        <v>45416</v>
      </c>
      <c r="P100" s="44" t="s">
        <v>168</v>
      </c>
      <c r="Q100" s="35">
        <v>45465</v>
      </c>
      <c r="R100" s="74">
        <f ca="1">(IF(Q100="",(TODAY()-O100),(Q100-O100)))/30</f>
        <v>1.6333333333333333</v>
      </c>
      <c r="S100" s="44">
        <f ca="1">ROUNDUP(R100*8,0)</f>
        <v>14</v>
      </c>
      <c r="T100" s="35">
        <v>45465</v>
      </c>
      <c r="U100" s="35">
        <v>45465</v>
      </c>
      <c r="V100" s="46">
        <v>0.95</v>
      </c>
      <c r="W100" s="46"/>
      <c r="X100" s="46"/>
      <c r="Y100" s="46"/>
      <c r="Z100" s="44" t="s">
        <v>38</v>
      </c>
      <c r="AA100" s="44">
        <v>0</v>
      </c>
      <c r="AB100" s="44">
        <v>0</v>
      </c>
      <c r="AC100" s="44" t="s">
        <v>39</v>
      </c>
      <c r="AD100" s="47"/>
      <c r="AE100" s="47"/>
      <c r="AF100" s="47"/>
    </row>
    <row r="101" spans="1:32">
      <c r="D101" s="151">
        <v>99</v>
      </c>
      <c r="E101" s="44" t="s">
        <v>192</v>
      </c>
      <c r="F101" s="45" t="s">
        <v>193</v>
      </c>
      <c r="G101" s="44" t="s">
        <v>83</v>
      </c>
      <c r="H101" s="44" t="str">
        <f>CONCATENATE(E101,"_",F101,"_",G101)</f>
        <v>A034_Shreya Asarma_A04</v>
      </c>
      <c r="I101" s="30" t="s">
        <v>150</v>
      </c>
      <c r="J101" s="45" t="s">
        <v>84</v>
      </c>
      <c r="K101" s="44">
        <v>400</v>
      </c>
      <c r="L101" s="44">
        <v>400</v>
      </c>
      <c r="M101" s="35">
        <v>45535</v>
      </c>
      <c r="N101" s="35">
        <v>45535</v>
      </c>
      <c r="O101" s="35">
        <v>45538</v>
      </c>
      <c r="P101" s="44" t="s">
        <v>168</v>
      </c>
      <c r="Q101" s="35">
        <v>45627</v>
      </c>
      <c r="R101" s="74">
        <f ca="1">(IF(Q101="",(TODAY()-O101),(Q101-O101)))/30</f>
        <v>2.9666666666666668</v>
      </c>
      <c r="S101" s="44">
        <f ca="1">ROUNDUP(R101*8,0)</f>
        <v>24</v>
      </c>
      <c r="T101" s="35">
        <v>45627</v>
      </c>
      <c r="U101" s="35">
        <v>45627</v>
      </c>
      <c r="V101" s="46">
        <v>1</v>
      </c>
      <c r="W101" s="46"/>
      <c r="X101" s="46"/>
      <c r="Y101" s="46"/>
      <c r="Z101" s="44" t="s">
        <v>106</v>
      </c>
      <c r="AA101" s="44">
        <v>3600</v>
      </c>
      <c r="AB101" s="44">
        <v>3600</v>
      </c>
      <c r="AC101" s="44" t="s">
        <v>46</v>
      </c>
      <c r="AD101" s="54">
        <v>45600</v>
      </c>
      <c r="AE101" s="47">
        <v>3</v>
      </c>
      <c r="AF101" s="47"/>
    </row>
    <row r="102" spans="1:32">
      <c r="D102" s="151">
        <v>100</v>
      </c>
      <c r="E102" s="44" t="s">
        <v>192</v>
      </c>
      <c r="F102" s="45" t="s">
        <v>193</v>
      </c>
      <c r="G102" s="44" t="s">
        <v>85</v>
      </c>
      <c r="H102" s="44" t="str">
        <f>CONCATENATE(E102,"_",F102,"_",G102)</f>
        <v>A034_Shreya Asarma_A05</v>
      </c>
      <c r="I102" s="44" t="s">
        <v>35</v>
      </c>
      <c r="J102" s="45" t="s">
        <v>86</v>
      </c>
      <c r="K102" s="44">
        <v>400</v>
      </c>
      <c r="L102" s="44">
        <v>400</v>
      </c>
      <c r="M102" s="35">
        <v>45645</v>
      </c>
      <c r="N102" s="35">
        <v>45645</v>
      </c>
      <c r="O102" s="35">
        <v>45645</v>
      </c>
      <c r="P102" s="44" t="s">
        <v>168</v>
      </c>
      <c r="Q102" s="35">
        <v>45808</v>
      </c>
      <c r="R102" s="74">
        <f ca="1">(IF(Q102="",(TODAY()-O102),(Q102-O102)))/30</f>
        <v>5.4333333333333336</v>
      </c>
      <c r="S102" s="44">
        <f ca="1">ROUNDUP(R102*8,0)</f>
        <v>44</v>
      </c>
      <c r="T102" s="35">
        <v>45808</v>
      </c>
      <c r="U102" s="35">
        <v>45808</v>
      </c>
      <c r="V102" s="46">
        <v>0.96</v>
      </c>
      <c r="W102" s="46"/>
      <c r="X102" s="46"/>
      <c r="Y102" s="46"/>
      <c r="Z102" s="44" t="s">
        <v>194</v>
      </c>
      <c r="AA102" s="44">
        <v>3600</v>
      </c>
      <c r="AB102" s="44">
        <v>3600</v>
      </c>
      <c r="AC102" s="44" t="s">
        <v>68</v>
      </c>
      <c r="AD102" s="54">
        <v>45741</v>
      </c>
      <c r="AE102" s="47"/>
      <c r="AF102" s="47" t="s">
        <v>140</v>
      </c>
    </row>
    <row r="103" spans="1:32">
      <c r="A103" s="10" t="s">
        <v>195</v>
      </c>
      <c r="B103" s="10" t="s">
        <v>63</v>
      </c>
      <c r="D103" s="151">
        <v>101</v>
      </c>
      <c r="E103" s="44" t="s">
        <v>192</v>
      </c>
      <c r="F103" s="45" t="s">
        <v>193</v>
      </c>
      <c r="G103" s="44" t="s">
        <v>102</v>
      </c>
      <c r="H103" s="44" t="str">
        <f>CONCATENATE(E103,"_",F103,"_",G103)</f>
        <v>A034_Shreya Asarma_A06</v>
      </c>
      <c r="I103" s="44" t="s">
        <v>35</v>
      </c>
      <c r="J103" s="45" t="s">
        <v>103</v>
      </c>
      <c r="K103" s="44">
        <v>400</v>
      </c>
      <c r="L103" s="44">
        <v>400</v>
      </c>
      <c r="M103" s="35">
        <v>45808</v>
      </c>
      <c r="N103" s="35">
        <v>45808</v>
      </c>
      <c r="O103" s="35">
        <v>45811</v>
      </c>
      <c r="P103" s="44" t="s">
        <v>168</v>
      </c>
      <c r="Q103" s="35">
        <v>45955</v>
      </c>
      <c r="R103" s="74">
        <v>5</v>
      </c>
      <c r="S103" s="44"/>
      <c r="T103" s="35">
        <v>45955</v>
      </c>
      <c r="U103" s="35">
        <v>45955</v>
      </c>
      <c r="V103" s="46">
        <v>0.93</v>
      </c>
      <c r="W103" s="46"/>
      <c r="X103" s="46"/>
      <c r="Y103" s="46"/>
      <c r="Z103" s="44" t="s">
        <v>47</v>
      </c>
      <c r="AA103" s="44">
        <v>3600</v>
      </c>
      <c r="AB103" s="44">
        <v>3600</v>
      </c>
      <c r="AC103" s="44" t="s">
        <v>68</v>
      </c>
      <c r="AD103" s="54">
        <v>45859</v>
      </c>
      <c r="AE103" s="47"/>
      <c r="AF103" s="47"/>
    </row>
    <row r="104" spans="1:32">
      <c r="D104" s="151"/>
      <c r="E104" s="44" t="s">
        <v>192</v>
      </c>
      <c r="F104" s="45" t="s">
        <v>193</v>
      </c>
      <c r="G104" s="44" t="s">
        <v>108</v>
      </c>
      <c r="H104" s="44" t="str">
        <f>CONCATENATE(E104,"_",F104,"_",G104)</f>
        <v>A034_Shreya Asarma_A07</v>
      </c>
      <c r="I104" s="44" t="s">
        <v>65</v>
      </c>
      <c r="J104" s="45" t="s">
        <v>165</v>
      </c>
      <c r="K104" s="44">
        <v>400</v>
      </c>
      <c r="L104" s="44">
        <v>400</v>
      </c>
      <c r="M104" s="23">
        <v>45955</v>
      </c>
      <c r="N104" s="23">
        <v>45955</v>
      </c>
      <c r="O104" s="23">
        <v>45958</v>
      </c>
      <c r="P104" s="44" t="s">
        <v>168</v>
      </c>
      <c r="Q104" s="23"/>
      <c r="R104" s="74"/>
      <c r="S104" s="44"/>
      <c r="T104" s="23"/>
      <c r="U104" s="23"/>
      <c r="V104" s="24"/>
      <c r="W104" s="21"/>
      <c r="X104" s="21"/>
      <c r="Y104" s="21"/>
      <c r="Z104" s="21" t="s">
        <v>47</v>
      </c>
      <c r="AA104" s="21">
        <v>4800</v>
      </c>
      <c r="AB104" s="21">
        <v>2400</v>
      </c>
      <c r="AC104" s="21"/>
      <c r="AD104" s="2">
        <v>45960</v>
      </c>
      <c r="AE104" s="1"/>
      <c r="AF104" s="1"/>
    </row>
    <row r="105" spans="1:32">
      <c r="D105" s="151">
        <v>102</v>
      </c>
      <c r="E105" s="30" t="s">
        <v>196</v>
      </c>
      <c r="F105" s="31" t="s">
        <v>197</v>
      </c>
      <c r="G105" s="30" t="s">
        <v>50</v>
      </c>
      <c r="H105" s="44" t="str">
        <f>CONCATENATE(E105,"_",F105,"_",G105)</f>
        <v>A035_Swara Kondhare_A08</v>
      </c>
      <c r="I105" s="30" t="s">
        <v>114</v>
      </c>
      <c r="J105" s="31" t="s">
        <v>51</v>
      </c>
      <c r="K105" s="30">
        <v>1600</v>
      </c>
      <c r="L105" s="30">
        <v>1600</v>
      </c>
      <c r="M105" s="32">
        <v>45421</v>
      </c>
      <c r="N105" s="32">
        <v>45421</v>
      </c>
      <c r="O105" s="32">
        <v>45421</v>
      </c>
      <c r="P105" s="21" t="s">
        <v>100</v>
      </c>
      <c r="Q105" s="30"/>
      <c r="R105" s="74">
        <f ca="1">(IF(Q105="",(TODAY()-O105),(Q105-O105)))/30</f>
        <v>18.833333333333332</v>
      </c>
      <c r="S105" s="44">
        <f ca="1">ROUNDUP(R105*8,0)</f>
        <v>151</v>
      </c>
      <c r="T105" s="30"/>
      <c r="U105" s="30"/>
      <c r="V105" s="30"/>
      <c r="W105" s="30"/>
      <c r="X105" s="30"/>
      <c r="Y105" s="30"/>
      <c r="Z105" s="30" t="s">
        <v>47</v>
      </c>
      <c r="AA105" s="30">
        <v>3600</v>
      </c>
      <c r="AB105" s="30">
        <v>1400</v>
      </c>
      <c r="AC105" s="30" t="s">
        <v>107</v>
      </c>
      <c r="AD105" s="33">
        <v>45422</v>
      </c>
      <c r="AE105" s="33"/>
      <c r="AF105" s="1"/>
    </row>
    <row r="106" spans="1:32">
      <c r="D106" s="151">
        <v>103</v>
      </c>
      <c r="E106" s="30" t="s">
        <v>198</v>
      </c>
      <c r="F106" s="31" t="s">
        <v>199</v>
      </c>
      <c r="G106" s="30" t="s">
        <v>93</v>
      </c>
      <c r="H106" s="44" t="str">
        <f>CONCATENATE(E106,"_",F106,"_",G106)</f>
        <v>A036_Yashwi Patil_A02</v>
      </c>
      <c r="I106" s="30" t="s">
        <v>35</v>
      </c>
      <c r="J106" s="31" t="s">
        <v>94</v>
      </c>
      <c r="K106" s="30">
        <v>1600</v>
      </c>
      <c r="L106" s="30">
        <v>1600</v>
      </c>
      <c r="M106" s="32">
        <v>45425</v>
      </c>
      <c r="N106" s="32">
        <v>45425</v>
      </c>
      <c r="O106" s="32">
        <v>45425</v>
      </c>
      <c r="P106" s="30" t="s">
        <v>77</v>
      </c>
      <c r="Q106" s="32">
        <v>45469</v>
      </c>
      <c r="R106" s="74">
        <f ca="1">(IF(Q106="",(TODAY()-O106),(Q106-O106)))/30</f>
        <v>1.4666666666666666</v>
      </c>
      <c r="S106" s="44">
        <f ca="1">ROUNDUP(R106*8,0)</f>
        <v>12</v>
      </c>
      <c r="T106" s="32">
        <v>45469</v>
      </c>
      <c r="U106" s="32">
        <v>45469</v>
      </c>
      <c r="V106" s="50">
        <v>0.96</v>
      </c>
      <c r="W106" s="50"/>
      <c r="X106" s="50"/>
      <c r="Y106" s="50"/>
      <c r="Z106" s="30" t="s">
        <v>47</v>
      </c>
      <c r="AA106" s="30">
        <v>3600</v>
      </c>
      <c r="AB106" s="30">
        <v>3600</v>
      </c>
      <c r="AC106" s="30" t="s">
        <v>46</v>
      </c>
      <c r="AD106" s="33">
        <v>45470</v>
      </c>
      <c r="AE106" s="34"/>
      <c r="AF106" s="34"/>
    </row>
    <row r="107" spans="1:32">
      <c r="D107" s="151">
        <v>104</v>
      </c>
      <c r="E107" s="21" t="s">
        <v>200</v>
      </c>
      <c r="F107" s="22" t="s">
        <v>201</v>
      </c>
      <c r="G107" s="21" t="s">
        <v>40</v>
      </c>
      <c r="H107" s="44" t="str">
        <f>CONCATENATE(E107,"_",F107,"_",G107)</f>
        <v>A037_Spruha Patil_A03</v>
      </c>
      <c r="I107" s="30" t="s">
        <v>35</v>
      </c>
      <c r="J107" s="22" t="s">
        <v>41</v>
      </c>
      <c r="K107" s="21">
        <v>550</v>
      </c>
      <c r="L107" s="21">
        <v>550</v>
      </c>
      <c r="M107" s="23">
        <v>45426</v>
      </c>
      <c r="N107" s="23">
        <v>45426</v>
      </c>
      <c r="O107" s="23">
        <v>45426</v>
      </c>
      <c r="P107" s="21" t="s">
        <v>52</v>
      </c>
      <c r="Q107" s="23">
        <v>45564</v>
      </c>
      <c r="R107" s="74">
        <f ca="1">(IF(Q107="",(TODAY()-O107),(Q107-O107)))/30</f>
        <v>4.5999999999999996</v>
      </c>
      <c r="S107" s="44">
        <f ca="1">ROUNDUP(R107*8,0)</f>
        <v>37</v>
      </c>
      <c r="T107" s="23">
        <v>45564</v>
      </c>
      <c r="U107" s="23">
        <v>45564</v>
      </c>
      <c r="V107" s="24">
        <v>0.95</v>
      </c>
      <c r="W107" s="24"/>
      <c r="X107" s="24"/>
      <c r="Y107" s="24"/>
      <c r="Z107" s="21" t="s">
        <v>47</v>
      </c>
      <c r="AA107" s="21">
        <v>3600</v>
      </c>
      <c r="AB107" s="21">
        <v>3600</v>
      </c>
      <c r="AC107" s="21" t="s">
        <v>61</v>
      </c>
      <c r="AD107" s="2">
        <v>45556</v>
      </c>
      <c r="AE107" s="2">
        <v>4</v>
      </c>
      <c r="AF107" s="1"/>
    </row>
    <row r="108" spans="1:32">
      <c r="A108" s="10" t="s">
        <v>202</v>
      </c>
      <c r="B108" s="10" t="s">
        <v>107</v>
      </c>
      <c r="D108" s="151">
        <v>105</v>
      </c>
      <c r="E108" s="21" t="s">
        <v>200</v>
      </c>
      <c r="F108" s="22" t="s">
        <v>201</v>
      </c>
      <c r="G108" s="21" t="s">
        <v>83</v>
      </c>
      <c r="H108" s="44" t="str">
        <f>CONCATENATE(E108,"_",F108,"_",G108)</f>
        <v>A037_Spruha Patil_A04</v>
      </c>
      <c r="I108" s="21" t="s">
        <v>65</v>
      </c>
      <c r="J108" s="22" t="s">
        <v>203</v>
      </c>
      <c r="K108" s="21">
        <v>400</v>
      </c>
      <c r="L108" s="21">
        <v>400</v>
      </c>
      <c r="M108" s="23">
        <v>45584</v>
      </c>
      <c r="N108" s="23">
        <v>45579</v>
      </c>
      <c r="O108" s="23">
        <v>45579</v>
      </c>
      <c r="P108" s="21" t="s">
        <v>100</v>
      </c>
      <c r="Q108" s="23"/>
      <c r="R108" s="74">
        <f ca="1">(IF(Q108="",(TODAY()-O108),(Q108-O108)))/30</f>
        <v>13.566666666666666</v>
      </c>
      <c r="S108" s="44">
        <f ca="1">ROUNDUP(R108*8,0)</f>
        <v>109</v>
      </c>
      <c r="T108" s="23"/>
      <c r="U108" s="23"/>
      <c r="V108" s="24"/>
      <c r="W108" s="24"/>
      <c r="X108" s="24"/>
      <c r="Y108" s="24"/>
      <c r="Z108" s="21" t="s">
        <v>47</v>
      </c>
      <c r="AA108" s="21">
        <v>3600</v>
      </c>
      <c r="AB108" s="21">
        <v>1800</v>
      </c>
      <c r="AC108" s="21" t="s">
        <v>110</v>
      </c>
      <c r="AD108" s="2">
        <v>45615</v>
      </c>
      <c r="AE108" s="2"/>
      <c r="AF108" s="1"/>
    </row>
    <row r="109" spans="1:32">
      <c r="A109"/>
      <c r="B109"/>
      <c r="C109"/>
      <c r="D109" s="151">
        <v>106</v>
      </c>
      <c r="E109" s="21" t="s">
        <v>204</v>
      </c>
      <c r="F109" s="22" t="s">
        <v>205</v>
      </c>
      <c r="G109" s="21" t="s">
        <v>50</v>
      </c>
      <c r="H109" s="44" t="str">
        <f>CONCATENATE(E109,"_",F109,"_",G109)</f>
        <v>A038_Aaradhya _A08</v>
      </c>
      <c r="I109" s="21" t="s">
        <v>35</v>
      </c>
      <c r="J109" s="22" t="s">
        <v>51</v>
      </c>
      <c r="K109" s="21">
        <v>600</v>
      </c>
      <c r="L109" s="21">
        <v>600</v>
      </c>
      <c r="M109" s="23">
        <v>45460</v>
      </c>
      <c r="N109" s="23">
        <v>45460</v>
      </c>
      <c r="O109" s="23">
        <v>45455</v>
      </c>
      <c r="P109" s="21" t="s">
        <v>145</v>
      </c>
      <c r="Q109" s="23">
        <v>45667</v>
      </c>
      <c r="R109" s="74">
        <f ca="1">(IF(Q109="",(TODAY()-O109),(Q109-O109)))/30</f>
        <v>7.0666666666666664</v>
      </c>
      <c r="S109" s="44">
        <f ca="1">ROUNDUP(R109*8,0)</f>
        <v>57</v>
      </c>
      <c r="T109" s="23">
        <v>45667</v>
      </c>
      <c r="U109" s="23">
        <v>45667</v>
      </c>
      <c r="V109" s="24">
        <v>0.96</v>
      </c>
      <c r="W109" s="21" t="s">
        <v>46</v>
      </c>
      <c r="X109" s="21"/>
      <c r="Y109" s="21"/>
      <c r="Z109" s="21" t="s">
        <v>106</v>
      </c>
      <c r="AA109" s="21">
        <v>3600</v>
      </c>
      <c r="AB109" s="21">
        <v>6000</v>
      </c>
      <c r="AC109" s="21" t="s">
        <v>46</v>
      </c>
      <c r="AD109" s="2">
        <v>45667</v>
      </c>
      <c r="AE109" s="1">
        <v>5</v>
      </c>
      <c r="AF109" s="1" t="s">
        <v>176</v>
      </c>
    </row>
    <row r="110" spans="1:32">
      <c r="A110"/>
      <c r="B110"/>
      <c r="C110"/>
      <c r="D110" s="151">
        <v>107</v>
      </c>
      <c r="E110" s="21" t="s">
        <v>204</v>
      </c>
      <c r="F110" s="22" t="s">
        <v>205</v>
      </c>
      <c r="G110" s="21" t="s">
        <v>53</v>
      </c>
      <c r="H110" s="44" t="str">
        <f>CONCATENATE(E110,"_",F110,"_",G110)</f>
        <v>A038_Aaradhya _A09</v>
      </c>
      <c r="I110" s="21" t="s">
        <v>35</v>
      </c>
      <c r="J110" s="22" t="s">
        <v>54</v>
      </c>
      <c r="K110" s="21">
        <v>400</v>
      </c>
      <c r="L110" s="21">
        <v>400</v>
      </c>
      <c r="M110" s="23">
        <v>45667</v>
      </c>
      <c r="N110" s="23">
        <v>45670</v>
      </c>
      <c r="O110" s="23">
        <v>45670</v>
      </c>
      <c r="P110" s="21" t="s">
        <v>206</v>
      </c>
      <c r="Q110" s="23">
        <v>45796</v>
      </c>
      <c r="R110" s="74">
        <f ca="1">(IF(Q110="",(TODAY()-O110),(Q110-O110)))/30</f>
        <v>4.2</v>
      </c>
      <c r="S110" s="44">
        <f ca="1">ROUNDUP(R110*8,0)</f>
        <v>34</v>
      </c>
      <c r="T110" s="23">
        <v>45796</v>
      </c>
      <c r="U110" s="23">
        <v>45796</v>
      </c>
      <c r="V110" s="24">
        <v>0.98</v>
      </c>
      <c r="W110" s="21" t="s">
        <v>110</v>
      </c>
      <c r="X110" s="21"/>
      <c r="Y110" s="21"/>
      <c r="Z110" s="21" t="s">
        <v>194</v>
      </c>
      <c r="AA110" s="21">
        <v>3600</v>
      </c>
      <c r="AB110" s="21">
        <v>3600</v>
      </c>
      <c r="AC110" s="21" t="s">
        <v>68</v>
      </c>
      <c r="AD110" s="2">
        <v>45796</v>
      </c>
      <c r="AE110" s="1"/>
      <c r="AF110" s="1" t="s">
        <v>176</v>
      </c>
    </row>
    <row r="111" spans="1:32">
      <c r="A111" t="s">
        <v>207</v>
      </c>
      <c r="B111" s="7" t="s">
        <v>107</v>
      </c>
      <c r="C111"/>
      <c r="D111" s="151">
        <v>108</v>
      </c>
      <c r="E111" s="21" t="s">
        <v>204</v>
      </c>
      <c r="F111" s="22" t="s">
        <v>205</v>
      </c>
      <c r="G111" s="21" t="s">
        <v>53</v>
      </c>
      <c r="H111" s="44" t="str">
        <f>CONCATENATE(E111,"_",F111,"_",G111)</f>
        <v>A038_Aaradhya _A09</v>
      </c>
      <c r="I111" s="21" t="s">
        <v>65</v>
      </c>
      <c r="J111" s="22" t="s">
        <v>56</v>
      </c>
      <c r="K111" s="21">
        <v>400</v>
      </c>
      <c r="L111" s="21">
        <v>400</v>
      </c>
      <c r="M111" s="23">
        <v>45812</v>
      </c>
      <c r="N111" s="23">
        <v>45812</v>
      </c>
      <c r="O111" s="23">
        <v>45812</v>
      </c>
      <c r="P111" s="21" t="s">
        <v>145</v>
      </c>
      <c r="Q111" s="23"/>
      <c r="R111" s="74"/>
      <c r="S111" s="44"/>
      <c r="T111" s="23"/>
      <c r="U111" s="23"/>
      <c r="V111" s="24"/>
      <c r="W111" s="21"/>
      <c r="X111" s="21"/>
      <c r="Y111" s="21"/>
      <c r="Z111" s="21" t="s">
        <v>47</v>
      </c>
      <c r="AA111" s="21">
        <v>3600</v>
      </c>
      <c r="AB111" s="21"/>
      <c r="AC111" s="21"/>
      <c r="AD111" s="2"/>
      <c r="AE111" s="1"/>
      <c r="AF111" s="1"/>
    </row>
    <row r="112" spans="1:32">
      <c r="D112" s="151">
        <v>109</v>
      </c>
      <c r="E112" s="25" t="s">
        <v>208</v>
      </c>
      <c r="F112" s="26" t="s">
        <v>209</v>
      </c>
      <c r="G112" s="25" t="s">
        <v>93</v>
      </c>
      <c r="H112" s="25" t="str">
        <f>CONCATENATE(E112,"_",F112,"_",G112)</f>
        <v>A039_Prisha Shah_A02</v>
      </c>
      <c r="I112" s="25" t="s">
        <v>210</v>
      </c>
      <c r="J112" s="26" t="s">
        <v>94</v>
      </c>
      <c r="K112" s="25">
        <v>1600</v>
      </c>
      <c r="L112" s="25">
        <v>1600</v>
      </c>
      <c r="M112" s="27">
        <v>45455</v>
      </c>
      <c r="N112" s="27">
        <v>45461</v>
      </c>
      <c r="O112" s="27">
        <v>45456</v>
      </c>
      <c r="P112" s="25" t="s">
        <v>211</v>
      </c>
      <c r="Q112" s="25"/>
      <c r="R112" s="91">
        <f ca="1">(IF(Q112="",(TODAY()-O112),(Q112-O112)))/30</f>
        <v>17.666666666666668</v>
      </c>
      <c r="S112" s="25">
        <f ca="1">ROUNDUP(R112*8,0)</f>
        <v>142</v>
      </c>
      <c r="T112" s="25"/>
      <c r="U112" s="25"/>
      <c r="V112" s="25"/>
      <c r="W112" s="25"/>
      <c r="X112" s="25"/>
      <c r="Y112" s="25"/>
      <c r="Z112" s="25" t="s">
        <v>47</v>
      </c>
      <c r="AA112" s="25">
        <v>3000</v>
      </c>
      <c r="AB112" s="25">
        <v>3000</v>
      </c>
      <c r="AC112" s="25" t="s">
        <v>46</v>
      </c>
      <c r="AD112" s="38">
        <v>45479</v>
      </c>
      <c r="AE112" s="38"/>
      <c r="AF112" s="29"/>
    </row>
    <row r="113" spans="1:32" s="53" customFormat="1">
      <c r="A113" s="90"/>
      <c r="B113" s="90"/>
      <c r="C113" s="90"/>
      <c r="D113" s="151">
        <v>110</v>
      </c>
      <c r="E113" s="25" t="s">
        <v>212</v>
      </c>
      <c r="F113" s="26" t="s">
        <v>213</v>
      </c>
      <c r="G113" s="25" t="s">
        <v>40</v>
      </c>
      <c r="H113" s="25" t="str">
        <f>CONCATENATE(E113,"_",F113,"_",G113)</f>
        <v>A040_Arnav Sachin Patil_A03</v>
      </c>
      <c r="I113" s="25" t="s">
        <v>35</v>
      </c>
      <c r="J113" s="26" t="s">
        <v>41</v>
      </c>
      <c r="K113" s="25">
        <v>1600</v>
      </c>
      <c r="L113" s="25">
        <v>1600</v>
      </c>
      <c r="M113" s="27">
        <v>45466</v>
      </c>
      <c r="N113" s="27">
        <v>45471</v>
      </c>
      <c r="O113" s="27">
        <v>45467</v>
      </c>
      <c r="P113" s="25" t="s">
        <v>52</v>
      </c>
      <c r="Q113" s="27">
        <v>45569</v>
      </c>
      <c r="R113" s="91">
        <f ca="1">(IF(Q113="",(TODAY()-O113),(Q113-O113)))/30</f>
        <v>3.4</v>
      </c>
      <c r="S113" s="25">
        <f ca="1">ROUNDUP(R113*8,0)</f>
        <v>28</v>
      </c>
      <c r="T113" s="27">
        <v>45569</v>
      </c>
      <c r="U113" s="27">
        <v>45569</v>
      </c>
      <c r="V113" s="28">
        <v>0.93</v>
      </c>
      <c r="W113" s="28"/>
      <c r="X113" s="28"/>
      <c r="Y113" s="28"/>
      <c r="Z113" s="25" t="s">
        <v>106</v>
      </c>
      <c r="AA113" s="25">
        <v>3600</v>
      </c>
      <c r="AB113" s="25">
        <v>3600</v>
      </c>
      <c r="AC113" s="25" t="s">
        <v>46</v>
      </c>
      <c r="AD113" s="38">
        <v>45559</v>
      </c>
      <c r="AE113" s="29">
        <v>3</v>
      </c>
      <c r="AF113" s="29"/>
    </row>
    <row r="114" spans="1:32" s="53" customFormat="1">
      <c r="A114" s="90"/>
      <c r="B114" s="90"/>
      <c r="C114" s="90"/>
      <c r="D114" s="151">
        <v>111</v>
      </c>
      <c r="E114" s="25" t="s">
        <v>212</v>
      </c>
      <c r="F114" s="26" t="s">
        <v>213</v>
      </c>
      <c r="G114" s="25" t="s">
        <v>83</v>
      </c>
      <c r="H114" s="25" t="str">
        <f>CONCATENATE(E114,"_",F114,"_",G114)</f>
        <v>A040_Arnav Sachin Patil_A04</v>
      </c>
      <c r="I114" s="94" t="s">
        <v>210</v>
      </c>
      <c r="J114" s="26" t="s">
        <v>84</v>
      </c>
      <c r="K114" s="25">
        <v>400</v>
      </c>
      <c r="L114" s="25">
        <v>400</v>
      </c>
      <c r="M114" s="27">
        <v>45570</v>
      </c>
      <c r="N114" s="27">
        <v>45569</v>
      </c>
      <c r="O114" s="27">
        <v>45572</v>
      </c>
      <c r="P114" s="25" t="s">
        <v>52</v>
      </c>
      <c r="Q114" s="27"/>
      <c r="R114" s="91">
        <f ca="1">(IF(Q114="",(TODAY()-O114),(Q114-O114)))/30</f>
        <v>13.8</v>
      </c>
      <c r="S114" s="25">
        <f ca="1">ROUNDUP(R114*8,0)</f>
        <v>111</v>
      </c>
      <c r="T114" s="27"/>
      <c r="U114" s="27"/>
      <c r="V114" s="28"/>
      <c r="W114" s="28"/>
      <c r="X114" s="28"/>
      <c r="Y114" s="28"/>
      <c r="Z114" s="25" t="s">
        <v>106</v>
      </c>
      <c r="AA114" s="25">
        <v>3600</v>
      </c>
      <c r="AB114" s="25">
        <v>4800</v>
      </c>
      <c r="AC114" s="25" t="s">
        <v>46</v>
      </c>
      <c r="AD114" s="38">
        <v>45686</v>
      </c>
      <c r="AE114" s="29">
        <v>4</v>
      </c>
      <c r="AF114" s="29" t="s">
        <v>111</v>
      </c>
    </row>
    <row r="115" spans="1:32">
      <c r="D115" s="151">
        <v>112</v>
      </c>
      <c r="E115" s="25" t="s">
        <v>214</v>
      </c>
      <c r="F115" s="26" t="s">
        <v>215</v>
      </c>
      <c r="G115" s="25" t="s">
        <v>93</v>
      </c>
      <c r="H115" s="25" t="str">
        <f>CONCATENATE(E115,"_",F115,"_",G115)</f>
        <v>A041_Avyaan Chaumal_A02</v>
      </c>
      <c r="I115" s="25" t="s">
        <v>35</v>
      </c>
      <c r="J115" s="26" t="s">
        <v>216</v>
      </c>
      <c r="K115" s="25">
        <v>1600</v>
      </c>
      <c r="L115" s="25">
        <v>1600</v>
      </c>
      <c r="M115" s="27">
        <v>45466</v>
      </c>
      <c r="N115" s="27">
        <v>45467</v>
      </c>
      <c r="O115" s="27">
        <v>45467</v>
      </c>
      <c r="P115" s="25" t="s">
        <v>211</v>
      </c>
      <c r="Q115" s="27">
        <v>45593</v>
      </c>
      <c r="R115" s="91">
        <f ca="1">(IF(Q115="",(TODAY()-O115),(Q115-O115)))/30</f>
        <v>4.2</v>
      </c>
      <c r="S115" s="25">
        <f ca="1">ROUNDUP(R115*8,0)</f>
        <v>34</v>
      </c>
      <c r="T115" s="27">
        <v>45593</v>
      </c>
      <c r="U115" s="27">
        <v>45593</v>
      </c>
      <c r="V115" s="28">
        <v>1</v>
      </c>
      <c r="W115" s="28"/>
      <c r="X115" s="28"/>
      <c r="Y115" s="28"/>
      <c r="Z115" s="25" t="s">
        <v>106</v>
      </c>
      <c r="AA115" s="25">
        <v>3600</v>
      </c>
      <c r="AB115" s="25">
        <v>3600</v>
      </c>
      <c r="AC115" s="25" t="s">
        <v>46</v>
      </c>
      <c r="AD115" s="38">
        <v>45571</v>
      </c>
      <c r="AE115" s="29">
        <v>3</v>
      </c>
      <c r="AF115" s="29"/>
    </row>
    <row r="116" spans="1:32">
      <c r="D116" s="151">
        <v>113</v>
      </c>
      <c r="E116" s="25" t="s">
        <v>214</v>
      </c>
      <c r="F116" s="26" t="s">
        <v>215</v>
      </c>
      <c r="G116" s="25" t="s">
        <v>40</v>
      </c>
      <c r="H116" s="25" t="str">
        <f>CONCATENATE(E116,"_",F116,"_",G116)</f>
        <v>A041_Avyaan Chaumal_A03</v>
      </c>
      <c r="I116" s="25" t="s">
        <v>114</v>
      </c>
      <c r="J116" s="26" t="s">
        <v>217</v>
      </c>
      <c r="K116" s="25">
        <v>400</v>
      </c>
      <c r="L116" s="25">
        <v>400</v>
      </c>
      <c r="M116" s="27">
        <v>45626</v>
      </c>
      <c r="N116" s="27">
        <v>45625</v>
      </c>
      <c r="O116" s="27">
        <v>45616</v>
      </c>
      <c r="P116" s="25" t="s">
        <v>77</v>
      </c>
      <c r="Q116" s="25"/>
      <c r="R116" s="91">
        <f ca="1">(IF(Q116="",(TODAY()-O116),(Q116-O116)))/30</f>
        <v>12.333333333333334</v>
      </c>
      <c r="S116" s="25">
        <f ca="1">ROUNDUP(R116*8,0)</f>
        <v>99</v>
      </c>
      <c r="T116" s="25"/>
      <c r="U116" s="25"/>
      <c r="V116" s="25"/>
      <c r="W116" s="25"/>
      <c r="X116" s="25"/>
      <c r="Y116" s="25"/>
      <c r="Z116" s="25" t="s">
        <v>152</v>
      </c>
      <c r="AA116" s="25">
        <v>3600</v>
      </c>
      <c r="AB116" s="25">
        <v>4800</v>
      </c>
      <c r="AC116" s="25" t="s">
        <v>68</v>
      </c>
      <c r="AD116" s="38">
        <v>45757</v>
      </c>
      <c r="AE116" s="29">
        <v>4</v>
      </c>
      <c r="AF116" s="29" t="s">
        <v>69</v>
      </c>
    </row>
    <row r="117" spans="1:32">
      <c r="D117" s="151">
        <v>114</v>
      </c>
      <c r="E117" s="25" t="s">
        <v>218</v>
      </c>
      <c r="F117" s="26" t="s">
        <v>219</v>
      </c>
      <c r="G117" s="25" t="s">
        <v>93</v>
      </c>
      <c r="H117" s="25" t="str">
        <f>CONCATENATE(E117,"_",F117,"_",G117)</f>
        <v>A042_Ishanvi Bhatt_A02</v>
      </c>
      <c r="I117" s="25" t="s">
        <v>35</v>
      </c>
      <c r="J117" s="26" t="s">
        <v>216</v>
      </c>
      <c r="K117" s="25">
        <v>1600</v>
      </c>
      <c r="L117" s="25">
        <v>1600</v>
      </c>
      <c r="M117" s="27">
        <v>45475</v>
      </c>
      <c r="N117" s="27">
        <v>45475</v>
      </c>
      <c r="O117" s="27">
        <v>45470</v>
      </c>
      <c r="P117" s="25" t="s">
        <v>211</v>
      </c>
      <c r="Q117" s="27">
        <v>45616</v>
      </c>
      <c r="R117" s="91">
        <f ca="1">(IF(Q117="",(TODAY()-O117),(Q117-O117)))/30</f>
        <v>4.8666666666666663</v>
      </c>
      <c r="S117" s="25">
        <f ca="1">ROUNDUP(R117*8,0)</f>
        <v>39</v>
      </c>
      <c r="T117" s="27">
        <v>45616</v>
      </c>
      <c r="U117" s="27">
        <v>45616</v>
      </c>
      <c r="V117" s="28">
        <v>0.92</v>
      </c>
      <c r="W117" s="25"/>
      <c r="X117" s="25"/>
      <c r="Y117" s="25"/>
      <c r="Z117" s="25" t="s">
        <v>106</v>
      </c>
      <c r="AA117" s="25">
        <v>6000</v>
      </c>
      <c r="AB117" s="25">
        <v>4800</v>
      </c>
      <c r="AC117" s="25" t="s">
        <v>46</v>
      </c>
      <c r="AD117" s="38">
        <v>45590</v>
      </c>
      <c r="AE117" s="29">
        <v>4</v>
      </c>
      <c r="AF117" s="29"/>
    </row>
    <row r="118" spans="1:32">
      <c r="D118" s="151">
        <v>115</v>
      </c>
      <c r="E118" s="25" t="s">
        <v>218</v>
      </c>
      <c r="F118" s="26" t="s">
        <v>219</v>
      </c>
      <c r="G118" s="25" t="s">
        <v>40</v>
      </c>
      <c r="H118" s="25" t="str">
        <f>CONCATENATE(E118,"_",F118,"_",G118)</f>
        <v>A042_Ishanvi Bhatt_A03</v>
      </c>
      <c r="I118" s="25" t="s">
        <v>114</v>
      </c>
      <c r="J118" s="26" t="s">
        <v>217</v>
      </c>
      <c r="K118" s="25">
        <v>400</v>
      </c>
      <c r="L118" s="25">
        <v>400</v>
      </c>
      <c r="M118" s="27">
        <v>45625</v>
      </c>
      <c r="N118" s="27">
        <v>45623</v>
      </c>
      <c r="O118" s="27">
        <v>45623</v>
      </c>
      <c r="P118" s="25" t="s">
        <v>77</v>
      </c>
      <c r="Q118" s="27"/>
      <c r="R118" s="91">
        <f ca="1">(IF(Q118="",(TODAY()-O118),(Q118-O118)))/30</f>
        <v>12.1</v>
      </c>
      <c r="S118" s="25">
        <f ca="1">ROUNDUP(R118*8,0)</f>
        <v>97</v>
      </c>
      <c r="T118" s="27"/>
      <c r="U118" s="27"/>
      <c r="V118" s="28"/>
      <c r="W118" s="25"/>
      <c r="X118" s="25"/>
      <c r="Y118" s="25"/>
      <c r="Z118" s="25" t="s">
        <v>106</v>
      </c>
      <c r="AA118" s="25">
        <v>3600</v>
      </c>
      <c r="AB118" s="25">
        <v>7200</v>
      </c>
      <c r="AC118" s="25" t="s">
        <v>68</v>
      </c>
      <c r="AD118" s="38">
        <v>45750</v>
      </c>
      <c r="AE118" s="29">
        <v>6</v>
      </c>
      <c r="AF118" s="29" t="s">
        <v>69</v>
      </c>
    </row>
    <row r="119" spans="1:32">
      <c r="D119" s="151">
        <v>116</v>
      </c>
      <c r="E119" s="21" t="s">
        <v>220</v>
      </c>
      <c r="F119" s="22" t="s">
        <v>221</v>
      </c>
      <c r="G119" s="21" t="s">
        <v>93</v>
      </c>
      <c r="H119" s="44" t="str">
        <f>CONCATENATE(E119,"_",F119,"_",G119)</f>
        <v>A043_Divisha Vyawahare_A02</v>
      </c>
      <c r="I119" s="30" t="s">
        <v>35</v>
      </c>
      <c r="J119" s="22" t="s">
        <v>216</v>
      </c>
      <c r="K119" s="21">
        <v>1600</v>
      </c>
      <c r="L119" s="21">
        <v>1600</v>
      </c>
      <c r="M119" s="23">
        <v>45478</v>
      </c>
      <c r="N119" s="23">
        <v>45483</v>
      </c>
      <c r="O119" s="23">
        <v>45475</v>
      </c>
      <c r="P119" s="21" t="s">
        <v>211</v>
      </c>
      <c r="Q119" s="23">
        <v>45611</v>
      </c>
      <c r="R119" s="74">
        <f ca="1">(IF(Q119="",(TODAY()-O119),(Q119-O119)))/30</f>
        <v>4.5333333333333332</v>
      </c>
      <c r="S119" s="44">
        <f ca="1">ROUNDUP(R119*8,0)</f>
        <v>37</v>
      </c>
      <c r="T119" s="23">
        <v>45611</v>
      </c>
      <c r="U119" s="23">
        <v>45611</v>
      </c>
      <c r="V119" s="24">
        <v>1</v>
      </c>
      <c r="W119" s="21"/>
      <c r="X119" s="21"/>
      <c r="Y119" s="21"/>
      <c r="Z119" s="21" t="s">
        <v>106</v>
      </c>
      <c r="AA119" s="21">
        <v>3600</v>
      </c>
      <c r="AB119" s="21">
        <v>4800</v>
      </c>
      <c r="AC119" s="21" t="s">
        <v>46</v>
      </c>
      <c r="AD119" s="2">
        <v>45569</v>
      </c>
      <c r="AE119" s="1">
        <v>4</v>
      </c>
      <c r="AF119" s="1"/>
    </row>
    <row r="120" spans="1:32">
      <c r="D120" s="151">
        <v>117</v>
      </c>
      <c r="E120" s="21" t="s">
        <v>220</v>
      </c>
      <c r="F120" s="22" t="s">
        <v>221</v>
      </c>
      <c r="G120" s="21" t="s">
        <v>40</v>
      </c>
      <c r="H120" s="44" t="str">
        <f>CONCATENATE(E120,"_",F120,"_",G120)</f>
        <v>A043_Divisha Vyawahare_A03</v>
      </c>
      <c r="I120" s="21" t="s">
        <v>114</v>
      </c>
      <c r="J120" s="22" t="s">
        <v>41</v>
      </c>
      <c r="K120" s="21">
        <v>400</v>
      </c>
      <c r="L120" s="21">
        <v>400</v>
      </c>
      <c r="M120" s="23">
        <v>45618</v>
      </c>
      <c r="N120" s="23">
        <v>45616</v>
      </c>
      <c r="O120" s="23">
        <v>45616</v>
      </c>
      <c r="P120" s="21" t="s">
        <v>211</v>
      </c>
      <c r="Q120" s="21"/>
      <c r="R120" s="74">
        <f ca="1">(IF(Q120="",(TODAY()-O120),(Q120-O120)))/30</f>
        <v>12.333333333333334</v>
      </c>
      <c r="S120" s="44">
        <f ca="1">ROUNDUP(R120*8,0)</f>
        <v>99</v>
      </c>
      <c r="T120" s="21"/>
      <c r="U120" s="21"/>
      <c r="V120" s="21"/>
      <c r="W120" s="21"/>
      <c r="X120" s="21"/>
      <c r="Y120" s="21"/>
      <c r="Z120" s="21" t="s">
        <v>106</v>
      </c>
      <c r="AA120" s="21">
        <v>3600</v>
      </c>
      <c r="AB120" s="21">
        <v>8400</v>
      </c>
      <c r="AC120" s="21" t="s">
        <v>68</v>
      </c>
      <c r="AD120" s="2">
        <v>45790</v>
      </c>
      <c r="AE120" s="1">
        <v>7</v>
      </c>
      <c r="AF120" s="1" t="s">
        <v>140</v>
      </c>
    </row>
    <row r="121" spans="1:32">
      <c r="D121" s="151">
        <v>118</v>
      </c>
      <c r="E121" s="21" t="s">
        <v>222</v>
      </c>
      <c r="F121" s="22" t="s">
        <v>223</v>
      </c>
      <c r="G121" s="21" t="s">
        <v>34</v>
      </c>
      <c r="H121" s="44" t="str">
        <f>CONCATENATE(E121,"_",F121,"_",G121)</f>
        <v>A044_Paridhi Agarwal_A01</v>
      </c>
      <c r="I121" s="30" t="s">
        <v>35</v>
      </c>
      <c r="J121" s="22" t="s">
        <v>36</v>
      </c>
      <c r="K121" s="21">
        <v>1600</v>
      </c>
      <c r="L121" s="21">
        <v>1600</v>
      </c>
      <c r="M121" s="23">
        <v>45491</v>
      </c>
      <c r="N121" s="23">
        <v>45492</v>
      </c>
      <c r="O121" s="23">
        <v>45490</v>
      </c>
      <c r="P121" s="21" t="s">
        <v>211</v>
      </c>
      <c r="Q121" s="23">
        <v>45634</v>
      </c>
      <c r="R121" s="74">
        <f ca="1">(IF(Q121="",(TODAY()-O121),(Q121-O121)))/30</f>
        <v>4.8</v>
      </c>
      <c r="S121" s="44">
        <f ca="1">ROUNDUP(R121*8,0)</f>
        <v>39</v>
      </c>
      <c r="T121" s="23">
        <v>45634</v>
      </c>
      <c r="U121" s="23">
        <v>45634</v>
      </c>
      <c r="V121" s="24">
        <v>1</v>
      </c>
      <c r="W121" s="21"/>
      <c r="X121" s="21"/>
      <c r="Y121" s="21"/>
      <c r="Z121" s="21" t="s">
        <v>106</v>
      </c>
      <c r="AA121" s="21">
        <v>3600</v>
      </c>
      <c r="AB121" s="21">
        <v>4800</v>
      </c>
      <c r="AC121" s="21" t="s">
        <v>46</v>
      </c>
      <c r="AD121" s="2">
        <v>45635</v>
      </c>
      <c r="AE121" s="1">
        <v>3</v>
      </c>
      <c r="AF121" s="1"/>
    </row>
    <row r="122" spans="1:32">
      <c r="A122" s="10" t="s">
        <v>224</v>
      </c>
      <c r="B122" s="10" t="s">
        <v>63</v>
      </c>
      <c r="D122" s="151">
        <v>119</v>
      </c>
      <c r="E122" s="21" t="s">
        <v>222</v>
      </c>
      <c r="F122" s="22" t="s">
        <v>223</v>
      </c>
      <c r="G122" s="21" t="s">
        <v>93</v>
      </c>
      <c r="H122" s="44" t="str">
        <f>CONCATENATE(E122,"_",F122,"_",G122)</f>
        <v>A044_Paridhi Agarwal_A02</v>
      </c>
      <c r="I122" s="21" t="s">
        <v>35</v>
      </c>
      <c r="J122" s="22" t="s">
        <v>216</v>
      </c>
      <c r="K122" s="21">
        <v>400</v>
      </c>
      <c r="L122" s="21">
        <v>400</v>
      </c>
      <c r="M122" s="23">
        <v>45638</v>
      </c>
      <c r="N122" s="23">
        <v>45645</v>
      </c>
      <c r="O122" s="23">
        <v>45637</v>
      </c>
      <c r="P122" s="21" t="s">
        <v>77</v>
      </c>
      <c r="Q122" s="23"/>
      <c r="R122" s="74">
        <f ca="1">(IF(Q122="",(TODAY()-O122),(Q122-O122)))/30</f>
        <v>11.633333333333333</v>
      </c>
      <c r="S122" s="44">
        <f ca="1">ROUNDUP(R122*8,0)</f>
        <v>94</v>
      </c>
      <c r="T122" s="23"/>
      <c r="U122" s="23"/>
      <c r="V122" s="24"/>
      <c r="W122" s="21"/>
      <c r="X122" s="21"/>
      <c r="Y122" s="21"/>
      <c r="Z122" s="21" t="s">
        <v>106</v>
      </c>
      <c r="AA122" s="21">
        <v>3600</v>
      </c>
      <c r="AB122" s="21">
        <v>2400</v>
      </c>
      <c r="AC122" s="21" t="s">
        <v>110</v>
      </c>
      <c r="AD122" s="2">
        <v>45723</v>
      </c>
      <c r="AE122" s="1">
        <v>2</v>
      </c>
      <c r="AF122" s="1" t="s">
        <v>140</v>
      </c>
    </row>
    <row r="123" spans="1:32">
      <c r="D123" s="151"/>
      <c r="E123" s="21" t="s">
        <v>222</v>
      </c>
      <c r="F123" s="22" t="s">
        <v>223</v>
      </c>
      <c r="G123" s="21" t="s">
        <v>40</v>
      </c>
      <c r="H123" s="44" t="str">
        <f>CONCATENATE(E123,"_",F123,"_",G123)</f>
        <v>A044_Paridhi Agarwal_A03</v>
      </c>
      <c r="I123" s="21" t="s">
        <v>65</v>
      </c>
      <c r="J123" s="22" t="s">
        <v>217</v>
      </c>
      <c r="K123" s="21">
        <v>400</v>
      </c>
      <c r="L123" s="21">
        <v>400</v>
      </c>
      <c r="M123" s="23">
        <v>45871</v>
      </c>
      <c r="N123" s="23"/>
      <c r="O123" s="23"/>
      <c r="P123" s="21"/>
      <c r="Q123" s="23"/>
      <c r="R123" s="74"/>
      <c r="S123" s="44"/>
      <c r="T123" s="23"/>
      <c r="U123" s="23"/>
      <c r="V123" s="24"/>
      <c r="W123" s="21"/>
      <c r="X123" s="21"/>
      <c r="Y123" s="21"/>
      <c r="Z123" s="21" t="s">
        <v>152</v>
      </c>
      <c r="AA123" s="21">
        <v>3600</v>
      </c>
      <c r="AB123" s="21">
        <v>2800</v>
      </c>
      <c r="AC123" s="21" t="s">
        <v>110</v>
      </c>
      <c r="AD123" s="2">
        <v>45962</v>
      </c>
      <c r="AE123" s="1">
        <v>2</v>
      </c>
      <c r="AF123" s="1" t="s">
        <v>140</v>
      </c>
    </row>
    <row r="124" spans="1:32">
      <c r="D124" s="151">
        <v>120</v>
      </c>
      <c r="E124" s="25" t="s">
        <v>225</v>
      </c>
      <c r="F124" s="26" t="s">
        <v>226</v>
      </c>
      <c r="G124" s="25" t="s">
        <v>93</v>
      </c>
      <c r="H124" s="25" t="str">
        <f>CONCATENATE(E124,"_",F124,"_",G124)</f>
        <v>A045_Navya Thakkar_A02</v>
      </c>
      <c r="I124" s="25" t="s">
        <v>35</v>
      </c>
      <c r="J124" s="26" t="s">
        <v>216</v>
      </c>
      <c r="K124" s="25">
        <v>1600</v>
      </c>
      <c r="L124" s="25">
        <v>1600</v>
      </c>
      <c r="M124" s="27">
        <v>45503</v>
      </c>
      <c r="N124" s="27">
        <v>45496</v>
      </c>
      <c r="O124" s="27">
        <v>45491</v>
      </c>
      <c r="P124" s="25" t="s">
        <v>77</v>
      </c>
      <c r="Q124" s="27">
        <v>45603</v>
      </c>
      <c r="R124" s="91">
        <f ca="1">(IF(Q124="",(TODAY()-O124),(Q124-O124)))/30</f>
        <v>3.7333333333333334</v>
      </c>
      <c r="S124" s="25">
        <f ca="1">ROUNDUP(R124*8,0)</f>
        <v>30</v>
      </c>
      <c r="T124" s="27">
        <v>45603</v>
      </c>
      <c r="U124" s="27">
        <v>45603</v>
      </c>
      <c r="V124" s="28">
        <v>0.96</v>
      </c>
      <c r="W124" s="28"/>
      <c r="X124" s="28"/>
      <c r="Y124" s="28"/>
      <c r="Z124" s="25" t="s">
        <v>106</v>
      </c>
      <c r="AA124" s="25">
        <v>3600</v>
      </c>
      <c r="AB124" s="25">
        <v>3600</v>
      </c>
      <c r="AC124" s="25" t="s">
        <v>46</v>
      </c>
      <c r="AD124" s="38">
        <v>45566</v>
      </c>
      <c r="AE124" s="29">
        <v>3</v>
      </c>
      <c r="AF124" s="29"/>
    </row>
    <row r="125" spans="1:32">
      <c r="D125" s="151">
        <v>121</v>
      </c>
      <c r="E125" s="25" t="s">
        <v>225</v>
      </c>
      <c r="F125" s="26" t="s">
        <v>226</v>
      </c>
      <c r="G125" s="25" t="s">
        <v>40</v>
      </c>
      <c r="H125" s="25" t="str">
        <f>CONCATENATE(E125,"_",F125,"_",G125)</f>
        <v>A045_Navya Thakkar_A03</v>
      </c>
      <c r="I125" s="25" t="s">
        <v>227</v>
      </c>
      <c r="J125" s="26" t="s">
        <v>41</v>
      </c>
      <c r="K125" s="25">
        <v>400</v>
      </c>
      <c r="L125" s="25">
        <v>400</v>
      </c>
      <c r="M125" s="27">
        <v>45612</v>
      </c>
      <c r="N125" s="27">
        <v>45608</v>
      </c>
      <c r="O125" s="27">
        <v>45608</v>
      </c>
      <c r="P125" s="25" t="s">
        <v>77</v>
      </c>
      <c r="Q125" s="25"/>
      <c r="R125" s="91">
        <f ca="1">(IF(Q125="",(TODAY()-O125),(Q125-O125)))/30</f>
        <v>12.6</v>
      </c>
      <c r="S125" s="25">
        <f ca="1">ROUNDUP(R125*8,0)</f>
        <v>101</v>
      </c>
      <c r="T125" s="25"/>
      <c r="U125" s="25"/>
      <c r="V125" s="25"/>
      <c r="W125" s="25"/>
      <c r="X125" s="25"/>
      <c r="Y125" s="25"/>
      <c r="Z125" s="25" t="s">
        <v>106</v>
      </c>
      <c r="AA125" s="25">
        <v>3600</v>
      </c>
      <c r="AB125" s="25">
        <v>4800</v>
      </c>
      <c r="AC125" s="25" t="s">
        <v>68</v>
      </c>
      <c r="AD125" s="38">
        <v>45710</v>
      </c>
      <c r="AE125" s="29">
        <v>4</v>
      </c>
      <c r="AF125" s="29" t="s">
        <v>111</v>
      </c>
    </row>
    <row r="126" spans="1:32">
      <c r="D126" s="151">
        <v>122</v>
      </c>
      <c r="E126" s="21" t="s">
        <v>228</v>
      </c>
      <c r="F126" s="22" t="s">
        <v>229</v>
      </c>
      <c r="G126" s="21" t="s">
        <v>40</v>
      </c>
      <c r="H126" s="44" t="str">
        <f>CONCATENATE(E126,"_",F126,"_",G126)</f>
        <v>A046_Shridnyesh Aher_A03</v>
      </c>
      <c r="I126" s="21" t="s">
        <v>35</v>
      </c>
      <c r="J126" s="22" t="s">
        <v>217</v>
      </c>
      <c r="K126" s="21">
        <v>1600</v>
      </c>
      <c r="L126" s="21">
        <v>1600</v>
      </c>
      <c r="M126" s="23">
        <v>45509</v>
      </c>
      <c r="N126" s="23">
        <v>45509</v>
      </c>
      <c r="O126" s="23">
        <v>45509</v>
      </c>
      <c r="P126" s="21" t="s">
        <v>100</v>
      </c>
      <c r="Q126" s="23">
        <v>45668</v>
      </c>
      <c r="R126" s="74">
        <f ca="1">(IF(Q126="",(TODAY()-O126),(Q126-O126)))/30</f>
        <v>5.3</v>
      </c>
      <c r="S126" s="44">
        <f ca="1">ROUNDUP(R126*8,0)</f>
        <v>43</v>
      </c>
      <c r="T126" s="23">
        <v>45668</v>
      </c>
      <c r="U126" s="23">
        <v>45668</v>
      </c>
      <c r="V126" s="24">
        <v>0.98</v>
      </c>
      <c r="W126" s="21"/>
      <c r="X126" s="21"/>
      <c r="Y126" s="21"/>
      <c r="Z126" s="21" t="s">
        <v>106</v>
      </c>
      <c r="AA126" s="21">
        <v>3600</v>
      </c>
      <c r="AB126" s="21">
        <v>7200</v>
      </c>
      <c r="AC126" s="21" t="s">
        <v>46</v>
      </c>
      <c r="AD126" s="2">
        <v>45659</v>
      </c>
      <c r="AE126" s="1">
        <v>5</v>
      </c>
      <c r="AF126" s="1"/>
    </row>
    <row r="127" spans="1:32">
      <c r="A127" s="10" t="s">
        <v>230</v>
      </c>
      <c r="B127" s="10" t="s">
        <v>107</v>
      </c>
      <c r="D127" s="151">
        <v>123</v>
      </c>
      <c r="E127" s="21" t="s">
        <v>228</v>
      </c>
      <c r="F127" s="22" t="s">
        <v>229</v>
      </c>
      <c r="G127" s="21" t="s">
        <v>83</v>
      </c>
      <c r="H127" s="44" t="str">
        <f>CONCATENATE(E127,"_",F127,"_",G127)</f>
        <v>A046_Shridnyesh Aher_A04</v>
      </c>
      <c r="I127" s="21" t="s">
        <v>65</v>
      </c>
      <c r="J127" s="22" t="s">
        <v>84</v>
      </c>
      <c r="K127" s="21">
        <v>400</v>
      </c>
      <c r="L127" s="21">
        <v>400</v>
      </c>
      <c r="M127" s="23"/>
      <c r="N127" s="23">
        <v>45675</v>
      </c>
      <c r="O127" s="23">
        <v>45675</v>
      </c>
      <c r="P127" s="21" t="s">
        <v>100</v>
      </c>
      <c r="Q127" s="21"/>
      <c r="R127" s="74"/>
      <c r="S127" s="44"/>
      <c r="T127" s="21"/>
      <c r="U127" s="21"/>
      <c r="V127" s="21"/>
      <c r="W127" s="21"/>
      <c r="X127" s="21"/>
      <c r="Y127" s="21"/>
      <c r="Z127" s="21" t="s">
        <v>106</v>
      </c>
      <c r="AA127" s="21">
        <v>3600</v>
      </c>
      <c r="AB127" s="21">
        <v>3600</v>
      </c>
      <c r="AC127" s="21" t="s">
        <v>110</v>
      </c>
      <c r="AD127" s="2">
        <v>45864</v>
      </c>
      <c r="AE127" s="1">
        <v>3</v>
      </c>
      <c r="AF127" s="1" t="s">
        <v>231</v>
      </c>
    </row>
    <row r="128" spans="1:32">
      <c r="D128" s="151">
        <v>124</v>
      </c>
      <c r="E128" s="21" t="s">
        <v>232</v>
      </c>
      <c r="F128" s="22" t="s">
        <v>233</v>
      </c>
      <c r="G128" s="21" t="s">
        <v>93</v>
      </c>
      <c r="H128" s="44" t="str">
        <f>CONCATENATE(E128,"_",F128,"_",G128)</f>
        <v>A047_Arnish Jhamtani_A02</v>
      </c>
      <c r="I128" s="30" t="s">
        <v>35</v>
      </c>
      <c r="J128" s="22" t="s">
        <v>216</v>
      </c>
      <c r="K128" s="21">
        <v>1600</v>
      </c>
      <c r="L128" s="21">
        <v>1600</v>
      </c>
      <c r="M128" s="23">
        <v>45508</v>
      </c>
      <c r="N128" s="23">
        <v>45519</v>
      </c>
      <c r="O128" s="23">
        <v>45519</v>
      </c>
      <c r="P128" s="21" t="s">
        <v>100</v>
      </c>
      <c r="Q128" s="23">
        <v>45591</v>
      </c>
      <c r="R128" s="74">
        <f ca="1">(IF(Q128="",(TODAY()-O128),(Q128-O128)))/30</f>
        <v>2.4</v>
      </c>
      <c r="S128" s="44">
        <f ca="1">ROUNDUP(R128*8,0)</f>
        <v>20</v>
      </c>
      <c r="T128" s="23">
        <v>45591</v>
      </c>
      <c r="U128" s="23">
        <v>45591</v>
      </c>
      <c r="V128" s="24">
        <v>1</v>
      </c>
      <c r="W128" s="24"/>
      <c r="X128" s="24"/>
      <c r="Y128" s="24"/>
      <c r="Z128" s="21" t="s">
        <v>47</v>
      </c>
      <c r="AA128" s="21">
        <v>3600</v>
      </c>
      <c r="AB128" s="21">
        <v>3600</v>
      </c>
      <c r="AC128" s="21" t="s">
        <v>61</v>
      </c>
      <c r="AD128" s="2">
        <v>45528</v>
      </c>
      <c r="AE128" s="1">
        <v>3</v>
      </c>
      <c r="AF128" s="1"/>
    </row>
    <row r="129" spans="1:32">
      <c r="D129" s="151">
        <v>125</v>
      </c>
      <c r="E129" s="21" t="s">
        <v>232</v>
      </c>
      <c r="F129" s="22" t="s">
        <v>233</v>
      </c>
      <c r="G129" s="21" t="s">
        <v>40</v>
      </c>
      <c r="H129" s="44" t="str">
        <f>CONCATENATE(E129,"_",F129,"_",G129)</f>
        <v>A047_Arnish Jhamtani_A03</v>
      </c>
      <c r="I129" s="21" t="s">
        <v>35</v>
      </c>
      <c r="J129" s="22" t="s">
        <v>217</v>
      </c>
      <c r="K129" s="21">
        <v>400</v>
      </c>
      <c r="L129" s="21">
        <v>400</v>
      </c>
      <c r="M129" s="23">
        <v>45616</v>
      </c>
      <c r="N129" s="23">
        <v>45591</v>
      </c>
      <c r="O129" s="23">
        <v>45591</v>
      </c>
      <c r="P129" s="21" t="s">
        <v>52</v>
      </c>
      <c r="Q129" s="23">
        <v>45747</v>
      </c>
      <c r="R129" s="74">
        <f ca="1">(IF(Q129="",(TODAY()-O129),(Q129-O129)))/30</f>
        <v>5.2</v>
      </c>
      <c r="S129" s="44">
        <f ca="1">ROUNDUP(R129*8,0)</f>
        <v>42</v>
      </c>
      <c r="T129" s="23">
        <v>45747</v>
      </c>
      <c r="U129" s="23">
        <v>45747</v>
      </c>
      <c r="V129" s="24">
        <v>1</v>
      </c>
      <c r="W129" s="24"/>
      <c r="X129" s="24"/>
      <c r="Y129" s="24"/>
      <c r="Z129" s="21" t="s">
        <v>47</v>
      </c>
      <c r="AA129" s="21">
        <v>3600</v>
      </c>
      <c r="AB129" s="21">
        <v>3600</v>
      </c>
      <c r="AC129" s="21" t="s">
        <v>61</v>
      </c>
      <c r="AD129" s="2">
        <v>45616</v>
      </c>
      <c r="AE129" s="1"/>
      <c r="AF129" s="1"/>
    </row>
    <row r="130" spans="1:32">
      <c r="D130" s="151">
        <v>126</v>
      </c>
      <c r="E130" s="21" t="s">
        <v>232</v>
      </c>
      <c r="F130" s="22" t="s">
        <v>233</v>
      </c>
      <c r="G130" s="21" t="s">
        <v>83</v>
      </c>
      <c r="H130" s="44" t="str">
        <f>CONCATENATE(E130,"_",F130,"_",G130)</f>
        <v>A047_Arnish Jhamtani_A04</v>
      </c>
      <c r="I130" s="21" t="s">
        <v>150</v>
      </c>
      <c r="J130" s="22" t="s">
        <v>203</v>
      </c>
      <c r="K130" s="21">
        <v>400</v>
      </c>
      <c r="L130" s="21">
        <v>400</v>
      </c>
      <c r="M130" s="23">
        <v>45756</v>
      </c>
      <c r="N130" s="23">
        <v>45747</v>
      </c>
      <c r="O130" s="23">
        <v>45747</v>
      </c>
      <c r="P130" s="21" t="s">
        <v>67</v>
      </c>
      <c r="Q130" s="23">
        <v>45797</v>
      </c>
      <c r="R130" s="74"/>
      <c r="S130" s="44"/>
      <c r="T130" s="23">
        <v>45797</v>
      </c>
      <c r="U130" s="23">
        <v>45797</v>
      </c>
      <c r="V130" s="24">
        <v>0.9</v>
      </c>
      <c r="W130" s="24"/>
      <c r="X130" s="24"/>
      <c r="Y130" s="24"/>
      <c r="Z130" s="21" t="s">
        <v>47</v>
      </c>
      <c r="AA130" s="21">
        <v>3600</v>
      </c>
      <c r="AB130" s="21">
        <v>3600</v>
      </c>
      <c r="AC130" s="21" t="s">
        <v>68</v>
      </c>
      <c r="AD130" s="2">
        <v>45756</v>
      </c>
      <c r="AE130" s="1"/>
      <c r="AF130" s="1" t="s">
        <v>140</v>
      </c>
    </row>
    <row r="131" spans="1:32">
      <c r="A131" s="10" t="s">
        <v>234</v>
      </c>
      <c r="B131" s="10" t="s">
        <v>107</v>
      </c>
      <c r="D131" s="151">
        <v>127</v>
      </c>
      <c r="E131" s="21" t="s">
        <v>232</v>
      </c>
      <c r="F131" s="22" t="s">
        <v>233</v>
      </c>
      <c r="G131" s="21" t="s">
        <v>83</v>
      </c>
      <c r="H131" s="44" t="str">
        <f>CONCATENATE(E131,"_",F131,"_",G131)</f>
        <v>A047_Arnish Jhamtani_A04</v>
      </c>
      <c r="I131" s="21" t="s">
        <v>35</v>
      </c>
      <c r="J131" s="22" t="s">
        <v>235</v>
      </c>
      <c r="K131" s="21">
        <v>400</v>
      </c>
      <c r="L131" s="21">
        <v>400</v>
      </c>
      <c r="M131" s="23">
        <v>45812</v>
      </c>
      <c r="N131" s="23">
        <v>45812</v>
      </c>
      <c r="O131" s="23">
        <v>45812</v>
      </c>
      <c r="P131" s="21" t="s">
        <v>67</v>
      </c>
      <c r="Q131" s="23"/>
      <c r="R131" s="74"/>
      <c r="S131" s="44"/>
      <c r="T131" s="23"/>
      <c r="U131" s="23"/>
      <c r="V131" s="24"/>
      <c r="W131" s="24"/>
      <c r="X131" s="24"/>
      <c r="Y131" s="24"/>
      <c r="Z131" s="21" t="s">
        <v>47</v>
      </c>
      <c r="AA131" s="21">
        <v>3600</v>
      </c>
      <c r="AB131" s="21">
        <v>3600</v>
      </c>
      <c r="AC131" s="21" t="s">
        <v>68</v>
      </c>
      <c r="AD131" s="2">
        <v>45819</v>
      </c>
      <c r="AE131" s="1">
        <v>3</v>
      </c>
      <c r="AF131" s="1" t="s">
        <v>69</v>
      </c>
    </row>
    <row r="132" spans="1:32">
      <c r="D132" s="151"/>
      <c r="E132" s="21" t="s">
        <v>232</v>
      </c>
      <c r="F132" s="22" t="s">
        <v>233</v>
      </c>
      <c r="G132" s="21" t="s">
        <v>83</v>
      </c>
      <c r="H132" s="44" t="str">
        <f>CONCATENATE(E132,"_",F132,"_",G132)</f>
        <v>A047_Arnish Jhamtani_A04</v>
      </c>
      <c r="I132" s="21" t="s">
        <v>65</v>
      </c>
      <c r="J132" s="22" t="s">
        <v>163</v>
      </c>
      <c r="K132" s="21">
        <v>400</v>
      </c>
      <c r="L132" s="21">
        <v>400</v>
      </c>
      <c r="M132" s="23">
        <v>45936</v>
      </c>
      <c r="N132" s="23">
        <v>45931</v>
      </c>
      <c r="O132" s="23">
        <v>45931</v>
      </c>
      <c r="P132" s="21" t="s">
        <v>67</v>
      </c>
      <c r="Q132" s="23"/>
      <c r="R132" s="74"/>
      <c r="S132" s="44"/>
      <c r="T132" s="23"/>
      <c r="U132" s="23"/>
      <c r="V132" s="24"/>
      <c r="W132" s="24"/>
      <c r="X132" s="24"/>
      <c r="Y132" s="24"/>
      <c r="Z132" s="21" t="s">
        <v>236</v>
      </c>
      <c r="AA132" s="21">
        <v>3600</v>
      </c>
      <c r="AB132" s="21">
        <v>3600</v>
      </c>
      <c r="AC132" s="21" t="s">
        <v>68</v>
      </c>
      <c r="AD132" s="2">
        <v>45936</v>
      </c>
      <c r="AE132" s="1">
        <v>3</v>
      </c>
      <c r="AF132" s="1" t="s">
        <v>140</v>
      </c>
    </row>
    <row r="133" spans="1:32">
      <c r="D133" s="151">
        <v>128</v>
      </c>
      <c r="E133" s="21" t="s">
        <v>237</v>
      </c>
      <c r="F133" s="22" t="s">
        <v>238</v>
      </c>
      <c r="G133" s="21" t="s">
        <v>40</v>
      </c>
      <c r="H133" s="44" t="str">
        <f>CONCATENATE(E133,"_",F133,"_",G133)</f>
        <v>A048_Vedant Kumar_A03</v>
      </c>
      <c r="I133" s="21" t="s">
        <v>35</v>
      </c>
      <c r="J133" s="22" t="s">
        <v>239</v>
      </c>
      <c r="K133" s="21">
        <v>1600</v>
      </c>
      <c r="L133" s="21">
        <v>1600</v>
      </c>
      <c r="M133" s="23">
        <v>45509</v>
      </c>
      <c r="N133" s="23">
        <v>45519</v>
      </c>
      <c r="O133" s="23">
        <v>45519</v>
      </c>
      <c r="P133" s="21" t="s">
        <v>52</v>
      </c>
      <c r="Q133" s="23">
        <v>45935</v>
      </c>
      <c r="R133" s="74">
        <f ca="1">(IF(Q133="",(TODAY()-O133),(Q133-O133)))/30</f>
        <v>13.866666666666667</v>
      </c>
      <c r="S133" s="44">
        <f ca="1">ROUNDUP(R133*8,0)</f>
        <v>111</v>
      </c>
      <c r="T133" s="21"/>
      <c r="U133" s="21"/>
      <c r="V133" s="24">
        <v>0.94</v>
      </c>
      <c r="W133" s="21"/>
      <c r="X133" s="21"/>
      <c r="Y133" s="21"/>
      <c r="Z133" s="21" t="s">
        <v>106</v>
      </c>
      <c r="AA133" s="21">
        <v>3600</v>
      </c>
      <c r="AB133" s="21">
        <v>16800</v>
      </c>
      <c r="AC133" s="21" t="s">
        <v>61</v>
      </c>
      <c r="AD133" s="2">
        <v>45903</v>
      </c>
      <c r="AE133" s="1">
        <v>14</v>
      </c>
      <c r="AF133" s="1" t="s">
        <v>140</v>
      </c>
    </row>
    <row r="134" spans="1:32">
      <c r="A134" s="10" t="s">
        <v>240</v>
      </c>
      <c r="B134" s="10" t="s">
        <v>107</v>
      </c>
      <c r="D134" s="151">
        <v>129</v>
      </c>
      <c r="E134" s="21" t="s">
        <v>237</v>
      </c>
      <c r="F134" s="22" t="s">
        <v>238</v>
      </c>
      <c r="G134" s="21" t="s">
        <v>83</v>
      </c>
      <c r="H134" s="44" t="str">
        <f>CONCATENATE(E134,"_",F134,"_",G134)</f>
        <v>A048_Vedant Kumar_A04</v>
      </c>
      <c r="I134" s="21" t="s">
        <v>65</v>
      </c>
      <c r="J134" s="22" t="s">
        <v>241</v>
      </c>
      <c r="K134" s="21">
        <v>400</v>
      </c>
      <c r="L134" s="21">
        <v>400</v>
      </c>
      <c r="M134" s="23">
        <v>45947</v>
      </c>
      <c r="N134" s="23">
        <v>45941</v>
      </c>
      <c r="O134" s="23">
        <v>45941</v>
      </c>
      <c r="P134" s="21" t="s">
        <v>52</v>
      </c>
      <c r="Q134" s="21"/>
      <c r="R134" s="74">
        <f ca="1">(IF(Q134="",(TODAY()-O134),(Q134-O134)))/30</f>
        <v>1.5</v>
      </c>
      <c r="S134" s="44">
        <f ca="1">ROUNDUP(R134*8,0)</f>
        <v>12</v>
      </c>
      <c r="T134" s="21"/>
      <c r="U134" s="21"/>
      <c r="V134" s="21"/>
      <c r="W134" s="21"/>
      <c r="X134" s="21"/>
      <c r="Y134" s="21"/>
      <c r="Z134" s="21" t="s">
        <v>106</v>
      </c>
      <c r="AA134" s="21">
        <v>4800</v>
      </c>
      <c r="AB134" s="21"/>
      <c r="AC134" s="21"/>
      <c r="AD134" s="2"/>
      <c r="AE134" s="1"/>
      <c r="AF134" s="1"/>
    </row>
    <row r="135" spans="1:32">
      <c r="D135" s="151">
        <v>130</v>
      </c>
      <c r="E135" s="82" t="s">
        <v>242</v>
      </c>
      <c r="F135" s="86" t="s">
        <v>243</v>
      </c>
      <c r="G135" s="82" t="s">
        <v>40</v>
      </c>
      <c r="H135" s="82" t="str">
        <f>CONCATENATE(E135,"_",F135,"_",G135)</f>
        <v>A049_Archit Shette_A03</v>
      </c>
      <c r="I135" s="82" t="s">
        <v>114</v>
      </c>
      <c r="J135" s="86" t="s">
        <v>217</v>
      </c>
      <c r="K135" s="82">
        <v>1600</v>
      </c>
      <c r="L135" s="82">
        <v>1600</v>
      </c>
      <c r="M135" s="87">
        <v>45529</v>
      </c>
      <c r="N135" s="87">
        <v>45531</v>
      </c>
      <c r="O135" s="87">
        <v>45531</v>
      </c>
      <c r="P135" s="82" t="s">
        <v>77</v>
      </c>
      <c r="Q135" s="82"/>
      <c r="R135" s="81">
        <f ca="1">(IF(Q135="",(TODAY()-O135),(Q135-O135)))/30</f>
        <v>15.166666666666666</v>
      </c>
      <c r="S135" s="82">
        <f ca="1">ROUNDUP(R135*8,0)</f>
        <v>122</v>
      </c>
      <c r="T135" s="82"/>
      <c r="U135" s="82"/>
      <c r="V135" s="82"/>
      <c r="W135" s="82"/>
      <c r="X135" s="82"/>
      <c r="Y135" s="82"/>
      <c r="Z135" s="82" t="s">
        <v>106</v>
      </c>
      <c r="AA135" s="82">
        <v>3600</v>
      </c>
      <c r="AB135" s="82">
        <v>2400</v>
      </c>
      <c r="AC135" s="82" t="s">
        <v>244</v>
      </c>
      <c r="AD135" s="88">
        <v>45571</v>
      </c>
      <c r="AE135" s="84">
        <v>2</v>
      </c>
      <c r="AF135" s="84"/>
    </row>
    <row r="136" spans="1:32">
      <c r="D136" s="151">
        <v>131</v>
      </c>
      <c r="E136" s="21" t="s">
        <v>245</v>
      </c>
      <c r="F136" s="22" t="s">
        <v>246</v>
      </c>
      <c r="G136" s="21" t="s">
        <v>40</v>
      </c>
      <c r="H136" s="44" t="str">
        <f>CONCATENATE(E136,"_",F136,"_",G136)</f>
        <v>A050_Arnav Pol_A03</v>
      </c>
      <c r="I136" s="21" t="s">
        <v>35</v>
      </c>
      <c r="J136" s="22" t="s">
        <v>41</v>
      </c>
      <c r="K136" s="21">
        <v>900</v>
      </c>
      <c r="L136" s="21">
        <v>900</v>
      </c>
      <c r="M136" s="23">
        <v>45546</v>
      </c>
      <c r="N136" s="23">
        <v>45535</v>
      </c>
      <c r="O136" s="23">
        <v>45535</v>
      </c>
      <c r="P136" s="21" t="s">
        <v>151</v>
      </c>
      <c r="Q136" s="23">
        <v>45714</v>
      </c>
      <c r="R136" s="74">
        <f ca="1">(IF(Q136="",(TODAY()-O136),(Q136-O136)))/30</f>
        <v>5.9666666666666668</v>
      </c>
      <c r="S136" s="44">
        <f ca="1">ROUNDUP(R136*8,0)</f>
        <v>48</v>
      </c>
      <c r="T136" s="52">
        <v>45714</v>
      </c>
      <c r="U136" s="23">
        <v>45714</v>
      </c>
      <c r="V136" s="24">
        <v>0.87</v>
      </c>
      <c r="W136" s="21" t="s">
        <v>46</v>
      </c>
      <c r="X136" s="21"/>
      <c r="Y136" s="21" t="s">
        <v>244</v>
      </c>
      <c r="Z136" s="21" t="s">
        <v>106</v>
      </c>
      <c r="AA136" s="21">
        <v>3600</v>
      </c>
      <c r="AB136" s="21">
        <v>7200</v>
      </c>
      <c r="AC136" s="21" t="s">
        <v>46</v>
      </c>
      <c r="AD136" s="2">
        <v>45729</v>
      </c>
      <c r="AE136" s="1">
        <v>6</v>
      </c>
      <c r="AF136" s="1" t="s">
        <v>69</v>
      </c>
    </row>
    <row r="137" spans="1:32">
      <c r="B137" s="10" t="s">
        <v>107</v>
      </c>
      <c r="D137" s="151">
        <v>132</v>
      </c>
      <c r="E137" s="37" t="s">
        <v>245</v>
      </c>
      <c r="F137" s="143" t="s">
        <v>246</v>
      </c>
      <c r="G137" s="37" t="s">
        <v>83</v>
      </c>
      <c r="H137" s="37" t="str">
        <f>CONCATENATE(E137,"_",F137,"_",G137)</f>
        <v>A050_Arnav Pol_A04</v>
      </c>
      <c r="I137" s="37" t="s">
        <v>65</v>
      </c>
      <c r="J137" s="143" t="s">
        <v>247</v>
      </c>
      <c r="K137" s="37">
        <v>400</v>
      </c>
      <c r="L137" s="37">
        <v>400</v>
      </c>
      <c r="M137" s="36">
        <v>45729</v>
      </c>
      <c r="N137" s="23">
        <v>45725</v>
      </c>
      <c r="O137" s="23">
        <v>45725</v>
      </c>
      <c r="P137" s="21" t="s">
        <v>248</v>
      </c>
      <c r="Q137" s="23"/>
      <c r="R137" s="74"/>
      <c r="S137" s="44"/>
      <c r="T137" s="52"/>
      <c r="U137" s="23"/>
      <c r="V137" s="24"/>
      <c r="W137" s="21"/>
      <c r="X137" s="21"/>
      <c r="Y137" s="21"/>
      <c r="Z137" s="21" t="s">
        <v>152</v>
      </c>
      <c r="AA137" s="21">
        <v>3600</v>
      </c>
      <c r="AB137" s="21">
        <v>3600</v>
      </c>
      <c r="AC137" s="21" t="s">
        <v>110</v>
      </c>
      <c r="AD137" s="2">
        <v>45939</v>
      </c>
      <c r="AE137" s="1">
        <v>3</v>
      </c>
      <c r="AF137" s="1" t="s">
        <v>231</v>
      </c>
    </row>
    <row r="138" spans="1:32">
      <c r="D138" s="151">
        <v>133</v>
      </c>
      <c r="E138" s="21" t="s">
        <v>249</v>
      </c>
      <c r="F138" s="22" t="s">
        <v>250</v>
      </c>
      <c r="G138" s="21" t="s">
        <v>83</v>
      </c>
      <c r="H138" s="44" t="str">
        <f>CONCATENATE(E138,"_",F138,"_",G138)</f>
        <v>A051_Mahir Gandhi_A04</v>
      </c>
      <c r="I138" s="21" t="s">
        <v>150</v>
      </c>
      <c r="J138" s="22" t="s">
        <v>84</v>
      </c>
      <c r="K138" s="21">
        <v>800</v>
      </c>
      <c r="L138" s="21">
        <v>800</v>
      </c>
      <c r="M138" s="23">
        <v>45546</v>
      </c>
      <c r="N138" s="23">
        <v>45551</v>
      </c>
      <c r="O138" s="23">
        <v>45546</v>
      </c>
      <c r="P138" s="21" t="s">
        <v>145</v>
      </c>
      <c r="Q138" s="23">
        <v>45672</v>
      </c>
      <c r="R138" s="74">
        <f ca="1">(IF(Q138="",(TODAY()-O138),(Q138-O138)))/30</f>
        <v>4.2</v>
      </c>
      <c r="S138" s="44">
        <f ca="1">ROUNDUP(R138*8,0)</f>
        <v>34</v>
      </c>
      <c r="T138" s="23">
        <v>45672</v>
      </c>
      <c r="U138" s="23">
        <v>45672</v>
      </c>
      <c r="V138" s="24">
        <v>0.9</v>
      </c>
      <c r="W138" s="21"/>
      <c r="X138" s="21"/>
      <c r="Y138" s="21"/>
      <c r="Z138" s="21" t="s">
        <v>106</v>
      </c>
      <c r="AA138" s="21">
        <v>3600</v>
      </c>
      <c r="AB138" s="21">
        <v>3600</v>
      </c>
      <c r="AC138" s="21" t="s">
        <v>68</v>
      </c>
      <c r="AD138" s="2">
        <v>45691</v>
      </c>
      <c r="AE138" s="1">
        <v>3</v>
      </c>
      <c r="AF138" s="1"/>
    </row>
    <row r="139" spans="1:32">
      <c r="A139" s="10" t="s">
        <v>251</v>
      </c>
      <c r="B139" s="10" t="s">
        <v>107</v>
      </c>
      <c r="D139" s="151">
        <v>134</v>
      </c>
      <c r="E139" s="21" t="s">
        <v>249</v>
      </c>
      <c r="F139" s="22" t="s">
        <v>250</v>
      </c>
      <c r="G139" s="21" t="s">
        <v>85</v>
      </c>
      <c r="H139" s="44" t="str">
        <f>CONCATENATE(E139,"_",F139,"_",G139)</f>
        <v>A051_Mahir Gandhi_A05</v>
      </c>
      <c r="I139" s="21" t="s">
        <v>35</v>
      </c>
      <c r="J139" s="22" t="s">
        <v>252</v>
      </c>
      <c r="K139" s="21">
        <v>0</v>
      </c>
      <c r="L139" s="21">
        <v>0</v>
      </c>
      <c r="M139" s="23">
        <v>45691</v>
      </c>
      <c r="N139" s="23">
        <v>45691</v>
      </c>
      <c r="O139" s="118">
        <v>45691</v>
      </c>
      <c r="P139" s="21" t="s">
        <v>145</v>
      </c>
      <c r="Q139" s="23">
        <v>45948</v>
      </c>
      <c r="R139" s="74">
        <v>9</v>
      </c>
      <c r="S139" s="44"/>
      <c r="T139" s="23"/>
      <c r="U139" s="23">
        <v>45948</v>
      </c>
      <c r="V139" s="24">
        <v>0.97</v>
      </c>
      <c r="W139" s="21" t="s">
        <v>46</v>
      </c>
      <c r="X139" s="21"/>
      <c r="Y139" s="21" t="s">
        <v>244</v>
      </c>
      <c r="Z139" s="21" t="s">
        <v>152</v>
      </c>
      <c r="AA139" s="21">
        <v>3600</v>
      </c>
      <c r="AB139" s="21">
        <v>8400</v>
      </c>
      <c r="AC139" s="21" t="s">
        <v>68</v>
      </c>
      <c r="AD139" s="2">
        <v>45938</v>
      </c>
      <c r="AE139" s="1">
        <v>7</v>
      </c>
      <c r="AF139" s="1" t="s">
        <v>69</v>
      </c>
    </row>
    <row r="140" spans="1:32">
      <c r="D140" s="151"/>
      <c r="E140" s="21" t="s">
        <v>249</v>
      </c>
      <c r="F140" s="22" t="s">
        <v>250</v>
      </c>
      <c r="G140" s="21" t="s">
        <v>102</v>
      </c>
      <c r="H140" s="44" t="str">
        <f>CONCATENATE(E140,"_",F140,"_",G140)</f>
        <v>A051_Mahir Gandhi_A06</v>
      </c>
      <c r="I140" s="21" t="s">
        <v>65</v>
      </c>
      <c r="J140" s="22" t="s">
        <v>174</v>
      </c>
      <c r="K140" s="21">
        <v>400</v>
      </c>
      <c r="L140" s="21"/>
      <c r="M140" s="23"/>
      <c r="N140" s="23">
        <v>45962</v>
      </c>
      <c r="O140" s="118">
        <v>45962</v>
      </c>
      <c r="P140" s="21" t="s">
        <v>253</v>
      </c>
      <c r="Q140" s="23"/>
      <c r="R140" s="74"/>
      <c r="S140" s="44"/>
      <c r="T140" s="23"/>
      <c r="U140" s="23"/>
      <c r="V140" s="24"/>
      <c r="W140" s="21"/>
      <c r="X140" s="21"/>
      <c r="Y140" s="21"/>
      <c r="Z140" s="21"/>
      <c r="AA140" s="21"/>
      <c r="AB140" s="21"/>
      <c r="AC140" s="21"/>
      <c r="AD140" s="2"/>
      <c r="AE140" s="1"/>
      <c r="AF140" s="1"/>
    </row>
    <row r="141" spans="1:32">
      <c r="D141" s="151">
        <v>135</v>
      </c>
      <c r="E141" s="21" t="s">
        <v>254</v>
      </c>
      <c r="F141" s="22" t="s">
        <v>255</v>
      </c>
      <c r="G141" s="21" t="s">
        <v>40</v>
      </c>
      <c r="H141" s="44" t="str">
        <f>CONCATENATE(E141,"_",F141,"_",G141)</f>
        <v>A052_Vivaan Garg_A03</v>
      </c>
      <c r="I141" s="21" t="s">
        <v>35</v>
      </c>
      <c r="J141" s="22" t="s">
        <v>217</v>
      </c>
      <c r="K141" s="21">
        <v>1600</v>
      </c>
      <c r="L141" s="21">
        <v>1600</v>
      </c>
      <c r="M141" s="23">
        <v>45544</v>
      </c>
      <c r="N141" s="23">
        <v>45550</v>
      </c>
      <c r="O141" s="118">
        <v>45550</v>
      </c>
      <c r="P141" s="21" t="s">
        <v>151</v>
      </c>
      <c r="Q141" s="23">
        <v>45843</v>
      </c>
      <c r="R141" s="74">
        <f ca="1">(IF(Q141="",(TODAY()-O141),(Q141-O141)))/30</f>
        <v>9.7666666666666675</v>
      </c>
      <c r="S141" s="44">
        <f ca="1">ROUNDUP(R141*8,0)</f>
        <v>79</v>
      </c>
      <c r="T141" s="21"/>
      <c r="U141" s="21"/>
      <c r="V141" s="24">
        <v>0.95</v>
      </c>
      <c r="W141" s="21" t="s">
        <v>46</v>
      </c>
      <c r="X141" s="21"/>
      <c r="Y141" s="21" t="s">
        <v>244</v>
      </c>
      <c r="Z141" s="21" t="s">
        <v>106</v>
      </c>
      <c r="AA141" s="21">
        <v>3600</v>
      </c>
      <c r="AB141" s="21">
        <v>9600</v>
      </c>
      <c r="AC141" s="21" t="s">
        <v>107</v>
      </c>
      <c r="AD141" s="2">
        <v>45846</v>
      </c>
      <c r="AE141" s="1">
        <v>8</v>
      </c>
      <c r="AF141" s="1" t="s">
        <v>111</v>
      </c>
    </row>
    <row r="142" spans="1:32">
      <c r="A142" s="10" t="s">
        <v>256</v>
      </c>
      <c r="B142" s="10" t="s">
        <v>107</v>
      </c>
      <c r="D142" s="151">
        <v>136</v>
      </c>
      <c r="E142" s="21" t="s">
        <v>254</v>
      </c>
      <c r="F142" s="22" t="s">
        <v>255</v>
      </c>
      <c r="G142" s="21" t="s">
        <v>83</v>
      </c>
      <c r="H142" s="44" t="str">
        <f>CONCATENATE(E142,"_",F142,"_",G142)</f>
        <v>A052_Vivaan Garg_A04</v>
      </c>
      <c r="I142" s="21" t="s">
        <v>65</v>
      </c>
      <c r="J142" s="22" t="s">
        <v>203</v>
      </c>
      <c r="K142" s="21">
        <v>400</v>
      </c>
      <c r="L142" s="21">
        <v>400</v>
      </c>
      <c r="M142" s="23">
        <v>45846</v>
      </c>
      <c r="N142" s="23">
        <v>45843</v>
      </c>
      <c r="O142" s="118">
        <v>45843</v>
      </c>
      <c r="P142" s="21" t="s">
        <v>257</v>
      </c>
      <c r="Q142" s="21"/>
      <c r="R142" s="74"/>
      <c r="S142" s="44"/>
      <c r="T142" s="21"/>
      <c r="U142" s="21"/>
      <c r="V142" s="21"/>
      <c r="W142" s="21"/>
      <c r="X142" s="21"/>
      <c r="Y142" s="21"/>
      <c r="Z142" s="21" t="s">
        <v>106</v>
      </c>
      <c r="AA142" s="21">
        <v>4800</v>
      </c>
      <c r="AB142" s="21">
        <v>1600</v>
      </c>
      <c r="AC142" s="21"/>
      <c r="AD142" s="2"/>
      <c r="AE142" s="1"/>
      <c r="AF142" s="1"/>
    </row>
    <row r="143" spans="1:32">
      <c r="D143" s="151">
        <v>137</v>
      </c>
      <c r="E143" s="21" t="s">
        <v>258</v>
      </c>
      <c r="F143" s="22" t="s">
        <v>259</v>
      </c>
      <c r="G143" s="21" t="s">
        <v>40</v>
      </c>
      <c r="H143" s="44" t="str">
        <f>CONCATENATE(E143,"_",F143,"_",G143)</f>
        <v>A053_Jaanvi Nitin Khandagale_A03</v>
      </c>
      <c r="I143" s="21" t="s">
        <v>35</v>
      </c>
      <c r="J143" s="22" t="s">
        <v>217</v>
      </c>
      <c r="K143" s="21">
        <v>1600</v>
      </c>
      <c r="L143" s="21">
        <v>1600</v>
      </c>
      <c r="M143" s="51">
        <v>45557</v>
      </c>
      <c r="N143" s="23">
        <v>45557</v>
      </c>
      <c r="O143" s="23">
        <v>45557</v>
      </c>
      <c r="P143" s="21" t="s">
        <v>151</v>
      </c>
      <c r="Q143" s="23">
        <v>45711</v>
      </c>
      <c r="R143" s="74">
        <f ca="1">(IF(Q143="",(TODAY()-O143),(Q143-O143)))/30</f>
        <v>5.1333333333333337</v>
      </c>
      <c r="S143" s="44">
        <f ca="1">ROUNDUP(R143*8,0)</f>
        <v>42</v>
      </c>
      <c r="T143" s="23">
        <v>45711</v>
      </c>
      <c r="U143" s="23">
        <v>45711</v>
      </c>
      <c r="V143" s="24">
        <v>0.98</v>
      </c>
      <c r="W143" s="21" t="s">
        <v>46</v>
      </c>
      <c r="X143" s="21"/>
      <c r="Y143" s="21" t="s">
        <v>244</v>
      </c>
      <c r="Z143" s="21" t="s">
        <v>152</v>
      </c>
      <c r="AA143" s="21">
        <v>3600</v>
      </c>
      <c r="AB143" s="21">
        <v>7200</v>
      </c>
      <c r="AC143" s="21" t="s">
        <v>61</v>
      </c>
      <c r="AD143" s="2">
        <v>45749</v>
      </c>
      <c r="AE143" s="1">
        <v>6</v>
      </c>
      <c r="AF143" s="1" t="s">
        <v>231</v>
      </c>
    </row>
    <row r="144" spans="1:32">
      <c r="D144" s="151">
        <v>138</v>
      </c>
      <c r="E144" s="21" t="s">
        <v>258</v>
      </c>
      <c r="F144" s="22" t="s">
        <v>259</v>
      </c>
      <c r="G144" s="21" t="s">
        <v>83</v>
      </c>
      <c r="H144" s="44" t="str">
        <f>CONCATENATE(E144,"_",F144,"_",G144)</f>
        <v>A053_Jaanvi Nitin Khandagale_A04</v>
      </c>
      <c r="I144" s="21" t="s">
        <v>114</v>
      </c>
      <c r="J144" s="22" t="s">
        <v>203</v>
      </c>
      <c r="K144" s="21">
        <v>400</v>
      </c>
      <c r="L144" s="21">
        <v>400</v>
      </c>
      <c r="M144" s="51">
        <v>45749</v>
      </c>
      <c r="N144" s="23">
        <v>45749</v>
      </c>
      <c r="O144" s="23">
        <v>45749</v>
      </c>
      <c r="P144" s="21" t="s">
        <v>151</v>
      </c>
      <c r="Q144" s="23"/>
      <c r="R144" s="74"/>
      <c r="S144" s="44"/>
      <c r="T144" s="23"/>
      <c r="U144" s="23"/>
      <c r="V144" s="24"/>
      <c r="W144" s="21"/>
      <c r="X144" s="21"/>
      <c r="Y144" s="21"/>
      <c r="Z144" s="21" t="s">
        <v>106</v>
      </c>
      <c r="AA144" s="21">
        <v>3600</v>
      </c>
      <c r="AB144" s="21">
        <v>1200</v>
      </c>
      <c r="AC144" s="21" t="s">
        <v>110</v>
      </c>
      <c r="AD144" s="2">
        <v>45749</v>
      </c>
      <c r="AE144" s="1">
        <v>1</v>
      </c>
      <c r="AF144" s="1" t="s">
        <v>231</v>
      </c>
    </row>
    <row r="145" spans="1:32">
      <c r="D145" s="151">
        <v>139</v>
      </c>
      <c r="E145" s="21" t="s">
        <v>260</v>
      </c>
      <c r="F145" s="22" t="s">
        <v>261</v>
      </c>
      <c r="G145" s="21" t="s">
        <v>34</v>
      </c>
      <c r="H145" s="44" t="str">
        <f>CONCATENATE(E145,"_",F145,"_",G145)</f>
        <v>A054_Rumi Pandita_A01</v>
      </c>
      <c r="I145" s="21" t="s">
        <v>35</v>
      </c>
      <c r="J145" s="22" t="s">
        <v>36</v>
      </c>
      <c r="K145" s="21">
        <v>1600</v>
      </c>
      <c r="L145" s="21">
        <v>1600</v>
      </c>
      <c r="M145" s="23">
        <v>45576</v>
      </c>
      <c r="N145" s="23">
        <v>45577</v>
      </c>
      <c r="O145" s="23">
        <v>45562</v>
      </c>
      <c r="P145" s="21" t="s">
        <v>151</v>
      </c>
      <c r="Q145" s="52">
        <v>45718</v>
      </c>
      <c r="R145" s="74">
        <f ca="1">(IF(Q145="",(TODAY()-O145),(Q145-O145)))/30</f>
        <v>5.2</v>
      </c>
      <c r="S145" s="44">
        <f ca="1">ROUNDUP(R145*8,0)</f>
        <v>42</v>
      </c>
      <c r="T145" s="23">
        <v>45718</v>
      </c>
      <c r="U145" s="23">
        <v>45718</v>
      </c>
      <c r="V145" s="24">
        <v>1</v>
      </c>
      <c r="W145" s="21" t="s">
        <v>46</v>
      </c>
      <c r="X145" s="21">
        <v>4</v>
      </c>
      <c r="Y145" s="21"/>
      <c r="Z145" s="21" t="s">
        <v>152</v>
      </c>
      <c r="AA145" s="21">
        <v>3600</v>
      </c>
      <c r="AB145" s="21">
        <v>4800</v>
      </c>
      <c r="AC145" s="21" t="s">
        <v>110</v>
      </c>
      <c r="AD145" s="2">
        <v>45692</v>
      </c>
      <c r="AE145" s="1">
        <v>4</v>
      </c>
      <c r="AF145" s="1" t="s">
        <v>111</v>
      </c>
    </row>
    <row r="146" spans="1:32">
      <c r="D146" s="151">
        <v>140</v>
      </c>
      <c r="E146" s="21" t="s">
        <v>260</v>
      </c>
      <c r="F146" s="22" t="s">
        <v>261</v>
      </c>
      <c r="G146" s="21" t="s">
        <v>93</v>
      </c>
      <c r="H146" s="44" t="str">
        <f>CONCATENATE(E146,"_",F146,"_",G146)</f>
        <v>A054_Rumi Pandita_A02</v>
      </c>
      <c r="I146" s="21" t="s">
        <v>210</v>
      </c>
      <c r="J146" s="22" t="s">
        <v>216</v>
      </c>
      <c r="K146" s="21">
        <v>400</v>
      </c>
      <c r="L146" s="21">
        <v>400</v>
      </c>
      <c r="M146" s="23">
        <v>45725</v>
      </c>
      <c r="N146" s="23">
        <v>45725</v>
      </c>
      <c r="O146" s="23">
        <v>45756</v>
      </c>
      <c r="P146" s="21" t="s">
        <v>151</v>
      </c>
      <c r="Q146" s="52"/>
      <c r="R146" s="74"/>
      <c r="S146" s="44"/>
      <c r="T146" s="23"/>
      <c r="U146" s="23"/>
      <c r="V146" s="24"/>
      <c r="W146" s="21"/>
      <c r="X146" s="21"/>
      <c r="Y146" s="21"/>
      <c r="Z146" s="21" t="s">
        <v>106</v>
      </c>
      <c r="AA146" s="21">
        <v>3600</v>
      </c>
      <c r="AB146" s="21">
        <v>1200</v>
      </c>
      <c r="AC146" s="21" t="s">
        <v>110</v>
      </c>
      <c r="AD146" s="2">
        <v>45760</v>
      </c>
      <c r="AE146" s="1">
        <v>1</v>
      </c>
      <c r="AF146" s="1" t="s">
        <v>69</v>
      </c>
    </row>
    <row r="147" spans="1:32">
      <c r="D147" s="151">
        <v>141</v>
      </c>
      <c r="E147" s="21" t="s">
        <v>262</v>
      </c>
      <c r="F147" s="22" t="s">
        <v>263</v>
      </c>
      <c r="G147" s="21" t="s">
        <v>93</v>
      </c>
      <c r="H147" s="44" t="str">
        <f>CONCATENATE(E147,"_",F147,"_",G147)</f>
        <v>A055_Yugansh Pawar_A02</v>
      </c>
      <c r="I147" s="21" t="s">
        <v>35</v>
      </c>
      <c r="J147" s="22" t="s">
        <v>264</v>
      </c>
      <c r="K147" s="21">
        <v>600</v>
      </c>
      <c r="L147" s="21">
        <v>600</v>
      </c>
      <c r="M147" s="23">
        <v>45567</v>
      </c>
      <c r="N147" s="23">
        <v>45574</v>
      </c>
      <c r="O147" s="23">
        <v>45567</v>
      </c>
      <c r="P147" s="21" t="s">
        <v>211</v>
      </c>
      <c r="Q147" s="23">
        <v>45683</v>
      </c>
      <c r="R147" s="74">
        <f ca="1">(IF(Q147="",(TODAY()-O147),(Q147-O147)))/30</f>
        <v>3.8666666666666667</v>
      </c>
      <c r="S147" s="44">
        <f ca="1">ROUNDUP(R147*8,0)</f>
        <v>31</v>
      </c>
      <c r="T147" s="23">
        <v>45683</v>
      </c>
      <c r="U147" s="52">
        <v>45683</v>
      </c>
      <c r="V147" s="24">
        <v>1</v>
      </c>
      <c r="W147" s="21" t="s">
        <v>46</v>
      </c>
      <c r="X147" s="21">
        <v>3</v>
      </c>
      <c r="Y147" s="23">
        <v>45683</v>
      </c>
      <c r="Z147" s="21" t="s">
        <v>47</v>
      </c>
      <c r="AA147" s="21">
        <v>3000</v>
      </c>
      <c r="AB147" s="21">
        <v>3000</v>
      </c>
      <c r="AC147" s="21" t="s">
        <v>46</v>
      </c>
      <c r="AD147" s="2">
        <v>45684</v>
      </c>
      <c r="AE147" s="1">
        <v>4</v>
      </c>
      <c r="AF147" s="1" t="s">
        <v>140</v>
      </c>
    </row>
    <row r="148" spans="1:32">
      <c r="A148" s="10" t="s">
        <v>265</v>
      </c>
      <c r="B148" s="10" t="s">
        <v>107</v>
      </c>
      <c r="D148" s="151">
        <v>142</v>
      </c>
      <c r="E148" s="21" t="s">
        <v>262</v>
      </c>
      <c r="F148" s="22" t="s">
        <v>263</v>
      </c>
      <c r="G148" s="21" t="s">
        <v>40</v>
      </c>
      <c r="H148" s="44" t="str">
        <f>CONCATENATE(E148,"_",F148,"_",G148)</f>
        <v>A055_Yugansh Pawar_A03</v>
      </c>
      <c r="I148" s="21" t="s">
        <v>65</v>
      </c>
      <c r="J148" s="22" t="s">
        <v>217</v>
      </c>
      <c r="K148" s="21">
        <v>400</v>
      </c>
      <c r="L148" s="21">
        <v>400</v>
      </c>
      <c r="M148" s="23">
        <v>45684</v>
      </c>
      <c r="N148" s="23">
        <v>45693</v>
      </c>
      <c r="O148" s="23">
        <v>45693</v>
      </c>
      <c r="P148" s="21" t="s">
        <v>266</v>
      </c>
      <c r="Q148" s="23">
        <v>45943</v>
      </c>
      <c r="R148" s="74"/>
      <c r="S148" s="44"/>
      <c r="T148" s="23">
        <v>45752</v>
      </c>
      <c r="U148" s="23">
        <v>45943</v>
      </c>
      <c r="V148" s="24">
        <v>0.97</v>
      </c>
      <c r="W148" s="21"/>
      <c r="X148" s="21"/>
      <c r="Y148" s="21"/>
      <c r="Z148" s="21" t="s">
        <v>47</v>
      </c>
      <c r="AA148" s="21">
        <v>3600</v>
      </c>
      <c r="AB148" s="21">
        <v>3600</v>
      </c>
      <c r="AC148" s="21" t="s">
        <v>68</v>
      </c>
      <c r="AD148" s="2">
        <v>45943</v>
      </c>
      <c r="AE148" s="1">
        <v>9</v>
      </c>
      <c r="AF148" s="1" t="s">
        <v>267</v>
      </c>
    </row>
    <row r="149" spans="1:32">
      <c r="D149" s="151">
        <v>143</v>
      </c>
      <c r="E149" s="21" t="s">
        <v>268</v>
      </c>
      <c r="F149" s="22" t="s">
        <v>269</v>
      </c>
      <c r="G149" s="21" t="s">
        <v>93</v>
      </c>
      <c r="H149" s="44" t="str">
        <f>CONCATENATE(E149,"_",F149,"_",G149)</f>
        <v>A056_Hridhaan Bagla_A02</v>
      </c>
      <c r="I149" s="21" t="s">
        <v>35</v>
      </c>
      <c r="J149" s="22" t="s">
        <v>270</v>
      </c>
      <c r="K149" s="21">
        <v>600</v>
      </c>
      <c r="L149" s="21">
        <v>600</v>
      </c>
      <c r="M149" s="23">
        <v>45581</v>
      </c>
      <c r="N149" s="23">
        <v>45583</v>
      </c>
      <c r="O149" s="23">
        <v>45583</v>
      </c>
      <c r="P149" s="21" t="s">
        <v>211</v>
      </c>
      <c r="Q149" s="52">
        <v>45721</v>
      </c>
      <c r="R149" s="74">
        <f ca="1">(IF(Q149="",(TODAY()-O149),(Q149-O149)))/30</f>
        <v>4.5999999999999996</v>
      </c>
      <c r="S149" s="44">
        <f ca="1">ROUNDUP(R149*8,0)</f>
        <v>37</v>
      </c>
      <c r="T149" s="52">
        <v>45721</v>
      </c>
      <c r="U149" s="52">
        <v>45721</v>
      </c>
      <c r="V149" s="24">
        <v>0.86</v>
      </c>
      <c r="W149" s="21" t="s">
        <v>46</v>
      </c>
      <c r="X149" s="21">
        <v>4</v>
      </c>
      <c r="Y149" s="21"/>
      <c r="Z149" s="21" t="s">
        <v>106</v>
      </c>
      <c r="AA149" s="21">
        <v>3600</v>
      </c>
      <c r="AB149" s="21">
        <v>6000</v>
      </c>
      <c r="AC149" s="21" t="s">
        <v>46</v>
      </c>
      <c r="AD149" s="2">
        <v>45715</v>
      </c>
      <c r="AE149" s="1">
        <v>5</v>
      </c>
      <c r="AF149" s="1" t="s">
        <v>169</v>
      </c>
    </row>
    <row r="150" spans="1:32">
      <c r="A150" s="10" t="s">
        <v>271</v>
      </c>
      <c r="B150" s="10" t="s">
        <v>63</v>
      </c>
      <c r="D150" s="151">
        <v>144</v>
      </c>
      <c r="E150" s="21" t="s">
        <v>268</v>
      </c>
      <c r="F150" s="22" t="s">
        <v>269</v>
      </c>
      <c r="G150" s="21" t="s">
        <v>40</v>
      </c>
      <c r="H150" s="44" t="str">
        <f>CONCATENATE(E150,"_",F150,"_",G150)</f>
        <v>A056_Hridhaan Bagla_A03</v>
      </c>
      <c r="I150" s="21" t="s">
        <v>65</v>
      </c>
      <c r="J150" s="22" t="s">
        <v>217</v>
      </c>
      <c r="K150" s="21">
        <v>400</v>
      </c>
      <c r="L150" s="21">
        <v>400</v>
      </c>
      <c r="M150" s="23">
        <v>45739</v>
      </c>
      <c r="N150" s="23">
        <v>45739</v>
      </c>
      <c r="O150" s="23">
        <v>45739</v>
      </c>
      <c r="P150" s="21" t="s">
        <v>266</v>
      </c>
      <c r="Q150" s="52"/>
      <c r="R150" s="74"/>
      <c r="S150" s="44"/>
      <c r="T150" s="52"/>
      <c r="U150" s="52"/>
      <c r="V150" s="24"/>
      <c r="W150" s="21"/>
      <c r="X150" s="21"/>
      <c r="Y150" s="21"/>
      <c r="Z150" s="21" t="s">
        <v>106</v>
      </c>
      <c r="AA150" s="21">
        <v>3600</v>
      </c>
      <c r="AB150" s="21">
        <v>8400</v>
      </c>
      <c r="AC150" s="21" t="s">
        <v>110</v>
      </c>
      <c r="AD150" s="2">
        <v>45951</v>
      </c>
      <c r="AE150" s="1">
        <v>7</v>
      </c>
      <c r="AF150" s="1" t="s">
        <v>267</v>
      </c>
    </row>
    <row r="151" spans="1:32" s="53" customFormat="1">
      <c r="A151" s="90"/>
      <c r="B151" s="90"/>
      <c r="C151" s="90"/>
      <c r="D151" s="151">
        <v>145</v>
      </c>
      <c r="E151" s="25" t="s">
        <v>272</v>
      </c>
      <c r="F151" s="26" t="s">
        <v>273</v>
      </c>
      <c r="G151" s="25" t="s">
        <v>40</v>
      </c>
      <c r="H151" s="25" t="str">
        <f>CONCATENATE(E151,"_",F151,"_",G151)</f>
        <v>A057_Tanvi Naik_A03</v>
      </c>
      <c r="I151" s="25" t="s">
        <v>210</v>
      </c>
      <c r="J151" s="26" t="s">
        <v>41</v>
      </c>
      <c r="K151" s="25">
        <v>1600</v>
      </c>
      <c r="L151" s="25">
        <v>1600</v>
      </c>
      <c r="M151" s="27">
        <v>45606</v>
      </c>
      <c r="N151" s="27">
        <v>45608</v>
      </c>
      <c r="O151" s="27">
        <v>45608</v>
      </c>
      <c r="P151" s="25" t="s">
        <v>77</v>
      </c>
      <c r="Q151" s="25"/>
      <c r="R151" s="91">
        <f ca="1">(IF(Q151="",(TODAY()-O151),(Q151-O151)))/30</f>
        <v>12.6</v>
      </c>
      <c r="S151" s="25">
        <f ca="1">ROUNDUP(R151*8,0)</f>
        <v>101</v>
      </c>
      <c r="T151" s="25"/>
      <c r="U151" s="25"/>
      <c r="V151" s="25"/>
      <c r="W151" s="25"/>
      <c r="X151" s="25"/>
      <c r="Y151" s="25"/>
      <c r="Z151" s="25" t="s">
        <v>106</v>
      </c>
      <c r="AA151" s="25">
        <v>3600</v>
      </c>
      <c r="AB151" s="25">
        <v>1200</v>
      </c>
      <c r="AC151" s="25" t="s">
        <v>46</v>
      </c>
      <c r="AD151" s="38">
        <v>45620</v>
      </c>
      <c r="AE151" s="29">
        <v>1</v>
      </c>
      <c r="AF151" s="29"/>
    </row>
    <row r="152" spans="1:32">
      <c r="D152" s="151">
        <v>146</v>
      </c>
      <c r="E152" s="21" t="s">
        <v>274</v>
      </c>
      <c r="F152" s="22" t="s">
        <v>275</v>
      </c>
      <c r="G152" s="21" t="s">
        <v>40</v>
      </c>
      <c r="H152" s="44" t="str">
        <f>CONCATENATE(E152,"_",F152,"_",G152)</f>
        <v>A058_Advik  Khadelwal_A03</v>
      </c>
      <c r="I152" s="21" t="s">
        <v>35</v>
      </c>
      <c r="J152" s="22" t="s">
        <v>217</v>
      </c>
      <c r="K152" s="21">
        <v>1600</v>
      </c>
      <c r="L152" s="21">
        <v>1600</v>
      </c>
      <c r="M152" s="23">
        <v>45616</v>
      </c>
      <c r="N152" s="23">
        <v>45616</v>
      </c>
      <c r="O152" s="23">
        <v>45616</v>
      </c>
      <c r="P152" s="21" t="s">
        <v>145</v>
      </c>
      <c r="Q152" s="52">
        <v>45721</v>
      </c>
      <c r="R152" s="74">
        <f ca="1">(IF(Q152="",(TODAY()-O152),(Q152-O152)))/30</f>
        <v>3.5</v>
      </c>
      <c r="S152" s="44">
        <f ca="1">ROUNDUP(R152*8,0)</f>
        <v>28</v>
      </c>
      <c r="T152" s="52">
        <v>45721</v>
      </c>
      <c r="U152" s="23">
        <v>45721</v>
      </c>
      <c r="V152" s="24">
        <v>0.98</v>
      </c>
      <c r="W152" s="21" t="s">
        <v>46</v>
      </c>
      <c r="X152" s="21"/>
      <c r="Y152" s="23">
        <v>45747</v>
      </c>
      <c r="Z152" s="21" t="s">
        <v>106</v>
      </c>
      <c r="AA152" s="21">
        <v>3600</v>
      </c>
      <c r="AB152" s="21">
        <v>3600</v>
      </c>
      <c r="AC152" s="21" t="s">
        <v>61</v>
      </c>
      <c r="AD152" s="2">
        <v>45720</v>
      </c>
      <c r="AE152" s="1">
        <v>3</v>
      </c>
      <c r="AF152" s="1" t="s">
        <v>111</v>
      </c>
    </row>
    <row r="153" spans="1:32">
      <c r="D153" s="151">
        <v>147</v>
      </c>
      <c r="E153" s="68" t="s">
        <v>274</v>
      </c>
      <c r="F153" s="22" t="s">
        <v>275</v>
      </c>
      <c r="G153" s="68" t="s">
        <v>83</v>
      </c>
      <c r="H153" s="70"/>
      <c r="I153" s="68" t="s">
        <v>35</v>
      </c>
      <c r="J153" s="69" t="s">
        <v>203</v>
      </c>
      <c r="K153" s="68">
        <v>400</v>
      </c>
      <c r="L153" s="68">
        <v>400</v>
      </c>
      <c r="M153" s="71">
        <v>45723</v>
      </c>
      <c r="N153" s="71">
        <v>45721</v>
      </c>
      <c r="O153" s="71">
        <v>45721</v>
      </c>
      <c r="P153" s="68" t="s">
        <v>145</v>
      </c>
      <c r="Q153" s="71">
        <v>45783</v>
      </c>
      <c r="R153" s="74"/>
      <c r="S153" s="44"/>
      <c r="T153" s="71">
        <v>45783</v>
      </c>
      <c r="U153" s="71">
        <v>45783</v>
      </c>
      <c r="V153" s="115">
        <v>0.94</v>
      </c>
      <c r="W153" s="68" t="s">
        <v>110</v>
      </c>
      <c r="X153" s="68"/>
      <c r="Y153" s="68"/>
      <c r="Z153" s="68" t="s">
        <v>106</v>
      </c>
      <c r="AA153" s="68">
        <v>3600</v>
      </c>
      <c r="AB153" s="68">
        <v>3600</v>
      </c>
      <c r="AC153" s="68" t="s">
        <v>68</v>
      </c>
      <c r="AD153" s="76">
        <v>45799</v>
      </c>
      <c r="AE153" s="72">
        <v>2</v>
      </c>
      <c r="AF153" s="72" t="s">
        <v>267</v>
      </c>
    </row>
    <row r="154" spans="1:32">
      <c r="D154" s="151">
        <v>148</v>
      </c>
      <c r="E154" s="68" t="s">
        <v>274</v>
      </c>
      <c r="F154" s="22" t="s">
        <v>275</v>
      </c>
      <c r="G154" s="68" t="s">
        <v>85</v>
      </c>
      <c r="H154" s="70"/>
      <c r="I154" s="68" t="s">
        <v>35</v>
      </c>
      <c r="J154" s="69" t="s">
        <v>252</v>
      </c>
      <c r="K154" s="68">
        <v>400</v>
      </c>
      <c r="L154" s="68">
        <v>400</v>
      </c>
      <c r="M154" s="71">
        <v>45799</v>
      </c>
      <c r="N154" s="71">
        <v>45783</v>
      </c>
      <c r="O154" s="71">
        <v>45783</v>
      </c>
      <c r="P154" s="68" t="s">
        <v>67</v>
      </c>
      <c r="Q154" s="71">
        <v>45848</v>
      </c>
      <c r="R154" s="74"/>
      <c r="S154" s="44"/>
      <c r="T154" s="71">
        <v>45848</v>
      </c>
      <c r="U154" s="71">
        <v>45848</v>
      </c>
      <c r="V154" s="115"/>
      <c r="W154" s="68" t="s">
        <v>110</v>
      </c>
      <c r="X154" s="68"/>
      <c r="Y154" s="68"/>
      <c r="Z154" s="68" t="s">
        <v>106</v>
      </c>
      <c r="AA154" s="68">
        <v>3600</v>
      </c>
      <c r="AB154" s="68">
        <v>2400</v>
      </c>
      <c r="AC154" s="68" t="s">
        <v>110</v>
      </c>
      <c r="AD154" s="76">
        <v>45860</v>
      </c>
      <c r="AE154" s="72">
        <v>2</v>
      </c>
      <c r="AF154" s="72" t="s">
        <v>140</v>
      </c>
    </row>
    <row r="155" spans="1:32">
      <c r="A155" s="10" t="s">
        <v>276</v>
      </c>
      <c r="B155" s="10" t="s">
        <v>107</v>
      </c>
      <c r="D155" s="151">
        <v>149</v>
      </c>
      <c r="E155" s="68" t="s">
        <v>274</v>
      </c>
      <c r="F155" s="22" t="s">
        <v>275</v>
      </c>
      <c r="G155" s="68" t="s">
        <v>85</v>
      </c>
      <c r="H155" s="70"/>
      <c r="I155" s="70" t="s">
        <v>65</v>
      </c>
      <c r="J155" s="69" t="s">
        <v>174</v>
      </c>
      <c r="K155" s="68">
        <v>400</v>
      </c>
      <c r="L155" s="68">
        <v>400</v>
      </c>
      <c r="M155" s="71">
        <v>45893</v>
      </c>
      <c r="N155" s="71">
        <v>45848</v>
      </c>
      <c r="O155" s="71">
        <v>45848</v>
      </c>
      <c r="P155" s="68" t="s">
        <v>145</v>
      </c>
      <c r="Q155" s="71"/>
      <c r="R155" s="74"/>
      <c r="S155" s="44"/>
      <c r="T155" s="71"/>
      <c r="U155" s="71"/>
      <c r="V155" s="115"/>
      <c r="W155" s="68"/>
      <c r="X155" s="68"/>
      <c r="Y155" s="68"/>
      <c r="Z155" s="68" t="s">
        <v>106</v>
      </c>
      <c r="AA155" s="68">
        <v>3600</v>
      </c>
      <c r="AB155" s="68">
        <v>4000</v>
      </c>
      <c r="AC155" s="68" t="s">
        <v>110</v>
      </c>
      <c r="AD155" s="76">
        <v>45947</v>
      </c>
      <c r="AE155" s="72">
        <v>3</v>
      </c>
      <c r="AF155" s="72" t="s">
        <v>267</v>
      </c>
    </row>
    <row r="156" spans="1:32">
      <c r="D156" s="151">
        <v>150</v>
      </c>
      <c r="E156" s="103" t="s">
        <v>277</v>
      </c>
      <c r="F156" s="104" t="s">
        <v>278</v>
      </c>
      <c r="G156" s="103" t="s">
        <v>93</v>
      </c>
      <c r="H156" s="103" t="str">
        <f>CONCATENATE(E156,"_",F156,"_",G156)</f>
        <v>A059_Prisha Deshmukh_A02</v>
      </c>
      <c r="I156" s="103" t="s">
        <v>114</v>
      </c>
      <c r="J156" s="104" t="s">
        <v>264</v>
      </c>
      <c r="K156" s="103">
        <v>600</v>
      </c>
      <c r="L156" s="103">
        <v>600</v>
      </c>
      <c r="M156" s="105">
        <v>45616</v>
      </c>
      <c r="N156" s="105">
        <v>45616</v>
      </c>
      <c r="O156" s="105">
        <v>45615</v>
      </c>
      <c r="P156" s="103" t="s">
        <v>162</v>
      </c>
      <c r="Q156" s="103"/>
      <c r="R156" s="91">
        <f ca="1">(IF(Q156="",(TODAY()-O156),(Q156-O156)))/30</f>
        <v>12.366666666666667</v>
      </c>
      <c r="S156" s="25">
        <f ca="1">ROUNDUP(R156*8,0)</f>
        <v>99</v>
      </c>
      <c r="T156" s="103"/>
      <c r="U156" s="103"/>
      <c r="V156" s="103"/>
      <c r="W156" s="103"/>
      <c r="X156" s="103"/>
      <c r="Y156" s="103"/>
      <c r="Z156" s="103" t="s">
        <v>106</v>
      </c>
      <c r="AA156" s="103">
        <v>2500</v>
      </c>
      <c r="AB156" s="103">
        <v>2500</v>
      </c>
      <c r="AC156" s="103" t="s">
        <v>68</v>
      </c>
      <c r="AD156" s="106">
        <v>45671</v>
      </c>
      <c r="AE156" s="107">
        <v>2</v>
      </c>
      <c r="AF156" s="107" t="s">
        <v>279</v>
      </c>
    </row>
    <row r="157" spans="1:32">
      <c r="D157" s="151">
        <v>151</v>
      </c>
      <c r="E157" s="108" t="s">
        <v>280</v>
      </c>
      <c r="F157" s="109" t="s">
        <v>281</v>
      </c>
      <c r="G157" s="108" t="s">
        <v>93</v>
      </c>
      <c r="H157" s="108" t="str">
        <f>CONCATENATE(E157,"_",F157,"_",G157)</f>
        <v>A060_Riaan Deshmukh_A02</v>
      </c>
      <c r="I157" s="103" t="s">
        <v>114</v>
      </c>
      <c r="J157" s="109" t="s">
        <v>264</v>
      </c>
      <c r="K157" s="108">
        <v>600</v>
      </c>
      <c r="L157" s="108">
        <v>600</v>
      </c>
      <c r="M157" s="110">
        <v>45616</v>
      </c>
      <c r="N157" s="110">
        <v>45616</v>
      </c>
      <c r="O157" s="110">
        <v>45615</v>
      </c>
      <c r="P157" s="108" t="s">
        <v>162</v>
      </c>
      <c r="Q157" s="108"/>
      <c r="R157" s="91">
        <f ca="1">(IF(Q157="",(TODAY()-O157),(Q157-O157)))/30</f>
        <v>12.366666666666667</v>
      </c>
      <c r="S157" s="25">
        <f ca="1">ROUNDUP(R157*8,0)</f>
        <v>99</v>
      </c>
      <c r="T157" s="108"/>
      <c r="U157" s="108"/>
      <c r="V157" s="108"/>
      <c r="W157" s="108"/>
      <c r="X157" s="108"/>
      <c r="Y157" s="108"/>
      <c r="Z157" s="108" t="s">
        <v>106</v>
      </c>
      <c r="AA157" s="108">
        <v>2500</v>
      </c>
      <c r="AB157" s="108">
        <v>2500</v>
      </c>
      <c r="AC157" s="108" t="s">
        <v>46</v>
      </c>
      <c r="AD157" s="111">
        <v>45677</v>
      </c>
      <c r="AE157" s="112">
        <v>2</v>
      </c>
      <c r="AF157" s="112" t="s">
        <v>231</v>
      </c>
    </row>
    <row r="158" spans="1:32">
      <c r="B158" s="10" t="s">
        <v>107</v>
      </c>
      <c r="D158" s="151">
        <v>152</v>
      </c>
      <c r="E158" s="63" t="s">
        <v>282</v>
      </c>
      <c r="F158" s="64" t="s">
        <v>283</v>
      </c>
      <c r="G158" s="63" t="s">
        <v>40</v>
      </c>
      <c r="H158" s="65" t="str">
        <f>CONCATENATE(E158,"_",F158,"_",G158)</f>
        <v>A061_Kaira Sharma_A03</v>
      </c>
      <c r="I158" s="70" t="s">
        <v>65</v>
      </c>
      <c r="J158" s="64" t="s">
        <v>41</v>
      </c>
      <c r="K158" s="63">
        <v>1600</v>
      </c>
      <c r="L158" s="63">
        <v>1600</v>
      </c>
      <c r="M158" s="66">
        <v>45629</v>
      </c>
      <c r="N158" s="66">
        <v>45634</v>
      </c>
      <c r="O158" s="66">
        <v>45627</v>
      </c>
      <c r="P158" s="63" t="s">
        <v>151</v>
      </c>
      <c r="Q158" s="63"/>
      <c r="R158" s="74">
        <f ca="1">(IF(Q158="",(TODAY()-O158),(Q158-O158)))/30</f>
        <v>11.966666666666667</v>
      </c>
      <c r="S158" s="44">
        <f ca="1">ROUNDUP(R158*8,0)</f>
        <v>96</v>
      </c>
      <c r="T158" s="63"/>
      <c r="U158" s="63"/>
      <c r="V158" s="63"/>
      <c r="W158" s="63"/>
      <c r="X158" s="63"/>
      <c r="Y158" s="63"/>
      <c r="Z158" s="63" t="s">
        <v>106</v>
      </c>
      <c r="AA158" s="63">
        <v>3600</v>
      </c>
      <c r="AB158" s="63">
        <v>6400</v>
      </c>
      <c r="AC158" s="63" t="s">
        <v>46</v>
      </c>
      <c r="AD158" s="73">
        <v>45942</v>
      </c>
      <c r="AE158" s="67">
        <v>5</v>
      </c>
      <c r="AF158" s="67" t="s">
        <v>284</v>
      </c>
    </row>
    <row r="159" spans="1:32">
      <c r="D159" s="151">
        <v>153</v>
      </c>
      <c r="E159" s="63" t="s">
        <v>285</v>
      </c>
      <c r="F159" s="64" t="s">
        <v>286</v>
      </c>
      <c r="G159" s="63" t="s">
        <v>40</v>
      </c>
      <c r="H159" s="65" t="str">
        <f>CONCATENATE(E159,"_",F159,"_",G159)</f>
        <v>A062_Kabeer  Kherajani_A03</v>
      </c>
      <c r="I159" s="63" t="s">
        <v>150</v>
      </c>
      <c r="J159" s="64" t="s">
        <v>41</v>
      </c>
      <c r="K159" s="63">
        <v>400</v>
      </c>
      <c r="L159" s="63">
        <v>400</v>
      </c>
      <c r="M159" s="66">
        <v>45635</v>
      </c>
      <c r="N159" s="66">
        <v>45635</v>
      </c>
      <c r="O159" s="66">
        <v>45628</v>
      </c>
      <c r="P159" s="63" t="s">
        <v>145</v>
      </c>
      <c r="Q159" s="66">
        <v>45775</v>
      </c>
      <c r="R159" s="74">
        <f ca="1">(IF(Q159="",(TODAY()-O159),(Q159-O159)))/30</f>
        <v>4.9000000000000004</v>
      </c>
      <c r="S159" s="44">
        <f ca="1">ROUNDUP(R159*8,0)</f>
        <v>40</v>
      </c>
      <c r="T159" s="66">
        <v>45775</v>
      </c>
      <c r="U159" s="66">
        <v>45775</v>
      </c>
      <c r="V159" s="92">
        <v>0.98</v>
      </c>
      <c r="W159" s="63" t="s">
        <v>46</v>
      </c>
      <c r="X159" s="63">
        <v>5</v>
      </c>
      <c r="Y159" s="63"/>
      <c r="Z159" s="63" t="s">
        <v>152</v>
      </c>
      <c r="AA159" s="63">
        <v>3600</v>
      </c>
      <c r="AB159" s="63">
        <v>6000</v>
      </c>
      <c r="AC159" s="63" t="s">
        <v>46</v>
      </c>
      <c r="AD159" s="73">
        <v>45769</v>
      </c>
      <c r="AE159" s="1">
        <v>5</v>
      </c>
      <c r="AF159" s="67" t="s">
        <v>111</v>
      </c>
    </row>
    <row r="160" spans="1:32">
      <c r="D160" s="151">
        <v>154</v>
      </c>
      <c r="E160" s="63" t="s">
        <v>285</v>
      </c>
      <c r="F160" s="64" t="s">
        <v>287</v>
      </c>
      <c r="G160" s="63" t="s">
        <v>83</v>
      </c>
      <c r="H160" s="65"/>
      <c r="I160" s="63" t="s">
        <v>150</v>
      </c>
      <c r="J160" s="64" t="s">
        <v>247</v>
      </c>
      <c r="K160" s="63">
        <v>400</v>
      </c>
      <c r="L160" s="63">
        <v>400</v>
      </c>
      <c r="M160" s="66">
        <v>45776</v>
      </c>
      <c r="N160" s="66">
        <v>45775</v>
      </c>
      <c r="O160" s="66">
        <v>45775</v>
      </c>
      <c r="P160" s="63" t="s">
        <v>67</v>
      </c>
      <c r="Q160" s="66">
        <v>45859</v>
      </c>
      <c r="R160" s="74"/>
      <c r="S160" s="44"/>
      <c r="T160" s="66">
        <v>45859</v>
      </c>
      <c r="U160" s="66">
        <v>45859</v>
      </c>
      <c r="V160" s="92">
        <v>0.98</v>
      </c>
      <c r="W160" s="63" t="s">
        <v>158</v>
      </c>
      <c r="X160" s="63"/>
      <c r="Y160" s="63"/>
      <c r="Z160" s="63" t="s">
        <v>152</v>
      </c>
      <c r="AA160" s="63">
        <v>3600</v>
      </c>
      <c r="AB160" s="63">
        <v>2400</v>
      </c>
      <c r="AC160" s="63" t="s">
        <v>68</v>
      </c>
      <c r="AD160" s="73">
        <v>45860</v>
      </c>
      <c r="AE160" s="1">
        <v>2</v>
      </c>
      <c r="AF160" s="67" t="s">
        <v>267</v>
      </c>
    </row>
    <row r="161" spans="1:32">
      <c r="B161" s="10" t="s">
        <v>63</v>
      </c>
      <c r="D161" s="151">
        <v>155</v>
      </c>
      <c r="E161" s="63" t="s">
        <v>285</v>
      </c>
      <c r="F161" s="64" t="s">
        <v>287</v>
      </c>
      <c r="G161" s="63" t="s">
        <v>85</v>
      </c>
      <c r="H161" s="65"/>
      <c r="I161" s="63" t="s">
        <v>65</v>
      </c>
      <c r="J161" s="64" t="s">
        <v>252</v>
      </c>
      <c r="K161" s="63">
        <v>400</v>
      </c>
      <c r="L161" s="63">
        <v>400</v>
      </c>
      <c r="M161" s="66">
        <v>45861</v>
      </c>
      <c r="N161" s="66">
        <v>45859</v>
      </c>
      <c r="O161" s="66">
        <v>45859</v>
      </c>
      <c r="P161" s="63" t="s">
        <v>145</v>
      </c>
      <c r="Q161" s="66"/>
      <c r="R161" s="74"/>
      <c r="S161" s="44"/>
      <c r="T161" s="66"/>
      <c r="U161" s="66"/>
      <c r="V161" s="92"/>
      <c r="W161" s="63"/>
      <c r="X161" s="63"/>
      <c r="Y161" s="63"/>
      <c r="Z161" s="63" t="s">
        <v>106</v>
      </c>
      <c r="AA161" s="63">
        <v>3600</v>
      </c>
      <c r="AB161" s="63">
        <v>4000</v>
      </c>
      <c r="AC161" s="63" t="s">
        <v>68</v>
      </c>
      <c r="AD161" s="73">
        <v>45943</v>
      </c>
      <c r="AE161" s="1">
        <v>3</v>
      </c>
      <c r="AF161" s="67" t="s">
        <v>176</v>
      </c>
    </row>
    <row r="162" spans="1:32">
      <c r="D162" s="151">
        <v>156</v>
      </c>
      <c r="E162" s="77" t="s">
        <v>288</v>
      </c>
      <c r="F162" s="78" t="s">
        <v>289</v>
      </c>
      <c r="G162" s="79" t="s">
        <v>40</v>
      </c>
      <c r="H162" s="79" t="str">
        <f>CONCATENATE(E162,"_",F162,"_",G162)</f>
        <v>A063_Nivaan Keswani_A03</v>
      </c>
      <c r="I162" s="79" t="s">
        <v>114</v>
      </c>
      <c r="J162" s="78" t="s">
        <v>41</v>
      </c>
      <c r="K162" s="79">
        <v>400</v>
      </c>
      <c r="L162" s="79">
        <v>400</v>
      </c>
      <c r="M162" s="80">
        <v>45635</v>
      </c>
      <c r="N162" s="80">
        <v>45635</v>
      </c>
      <c r="O162" s="80">
        <v>45630</v>
      </c>
      <c r="P162" s="79" t="s">
        <v>145</v>
      </c>
      <c r="Q162" s="79"/>
      <c r="R162" s="81">
        <f ca="1">(IF(Q162="",(TODAY()-O162),(Q162-O162)))/30</f>
        <v>11.866666666666667</v>
      </c>
      <c r="S162" s="82">
        <f ca="1">ROUNDUP(R162*8,0)</f>
        <v>95</v>
      </c>
      <c r="T162" s="79"/>
      <c r="U162" s="79"/>
      <c r="V162" s="79"/>
      <c r="W162" s="79"/>
      <c r="X162" s="79"/>
      <c r="Y162" s="79"/>
      <c r="Z162" s="79" t="s">
        <v>106</v>
      </c>
      <c r="AA162" s="79">
        <v>3600</v>
      </c>
      <c r="AB162" s="79">
        <v>1200</v>
      </c>
      <c r="AC162" s="79" t="s">
        <v>110</v>
      </c>
      <c r="AD162" s="83">
        <v>45635</v>
      </c>
      <c r="AE162" s="84">
        <v>1</v>
      </c>
      <c r="AF162" s="85"/>
    </row>
    <row r="163" spans="1:32">
      <c r="D163" s="151">
        <v>157</v>
      </c>
      <c r="E163" s="63" t="s">
        <v>290</v>
      </c>
      <c r="F163" s="64" t="s">
        <v>291</v>
      </c>
      <c r="G163" s="63" t="s">
        <v>40</v>
      </c>
      <c r="H163" s="65" t="str">
        <f>CONCATENATE(E163,"_",F163,"_",G163)</f>
        <v>A064_Samyak Bora_A03</v>
      </c>
      <c r="I163" s="63" t="s">
        <v>150</v>
      </c>
      <c r="J163" s="64" t="s">
        <v>41</v>
      </c>
      <c r="K163" s="63">
        <v>600</v>
      </c>
      <c r="L163" s="63">
        <v>600</v>
      </c>
      <c r="M163" s="118">
        <v>45636</v>
      </c>
      <c r="N163" s="66">
        <v>45635</v>
      </c>
      <c r="O163" s="66">
        <v>45629</v>
      </c>
      <c r="P163" s="63" t="s">
        <v>292</v>
      </c>
      <c r="Q163" s="66">
        <v>45691</v>
      </c>
      <c r="R163" s="74">
        <f ca="1">(IF(Q163="",(TODAY()-O163),(Q163-O163)))/30</f>
        <v>2.0666666666666669</v>
      </c>
      <c r="S163" s="44">
        <f ca="1">ROUNDUP(R163*8,0)</f>
        <v>17</v>
      </c>
      <c r="T163" s="63"/>
      <c r="U163" s="63"/>
      <c r="V163" s="92">
        <v>1</v>
      </c>
      <c r="W163" s="63" t="s">
        <v>46</v>
      </c>
      <c r="X163" s="63"/>
      <c r="Y163" s="63"/>
      <c r="Z163" s="63" t="s">
        <v>293</v>
      </c>
      <c r="AA163" s="63">
        <v>3600</v>
      </c>
      <c r="AB163" s="63">
        <v>3600</v>
      </c>
      <c r="AC163" s="63" t="s">
        <v>61</v>
      </c>
      <c r="AD163" s="73">
        <v>45694</v>
      </c>
      <c r="AE163" s="67">
        <v>2</v>
      </c>
      <c r="AF163" s="67" t="s">
        <v>267</v>
      </c>
    </row>
    <row r="164" spans="1:32">
      <c r="D164" s="151">
        <v>158</v>
      </c>
      <c r="E164" s="63" t="s">
        <v>290</v>
      </c>
      <c r="F164" s="64" t="s">
        <v>291</v>
      </c>
      <c r="G164" s="63" t="s">
        <v>83</v>
      </c>
      <c r="H164" s="65"/>
      <c r="I164" s="63" t="s">
        <v>150</v>
      </c>
      <c r="J164" s="64" t="s">
        <v>203</v>
      </c>
      <c r="K164" s="63">
        <v>400</v>
      </c>
      <c r="L164" s="63">
        <v>400</v>
      </c>
      <c r="M164" s="118">
        <v>45694</v>
      </c>
      <c r="N164" s="66">
        <v>45694</v>
      </c>
      <c r="O164" s="66">
        <v>45694</v>
      </c>
      <c r="P164" s="63" t="s">
        <v>294</v>
      </c>
      <c r="Q164" s="63" t="s">
        <v>295</v>
      </c>
      <c r="R164" s="74"/>
      <c r="S164" s="44"/>
      <c r="T164" s="66">
        <v>45742</v>
      </c>
      <c r="U164" s="66">
        <v>45742</v>
      </c>
      <c r="V164" s="92">
        <v>0.92</v>
      </c>
      <c r="W164" s="63" t="s">
        <v>110</v>
      </c>
      <c r="X164" s="63"/>
      <c r="Y164" s="63"/>
      <c r="Z164" s="63" t="s">
        <v>236</v>
      </c>
      <c r="AA164" s="63">
        <v>3600</v>
      </c>
      <c r="AB164" s="63">
        <v>3600</v>
      </c>
      <c r="AC164" s="63" t="s">
        <v>61</v>
      </c>
      <c r="AD164" s="73">
        <v>45746</v>
      </c>
      <c r="AE164" s="67">
        <v>3</v>
      </c>
      <c r="AF164" s="67" t="s">
        <v>267</v>
      </c>
    </row>
    <row r="165" spans="1:32">
      <c r="D165" s="151">
        <v>159</v>
      </c>
      <c r="E165" s="63" t="s">
        <v>290</v>
      </c>
      <c r="F165" s="64" t="s">
        <v>291</v>
      </c>
      <c r="G165" s="63" t="s">
        <v>85</v>
      </c>
      <c r="H165" s="65"/>
      <c r="I165" s="63" t="s">
        <v>35</v>
      </c>
      <c r="J165" s="64" t="s">
        <v>86</v>
      </c>
      <c r="K165" s="63">
        <v>400</v>
      </c>
      <c r="L165" s="63">
        <v>400</v>
      </c>
      <c r="M165" s="118">
        <v>45746</v>
      </c>
      <c r="N165" s="66">
        <v>45743</v>
      </c>
      <c r="O165" s="66">
        <v>45743</v>
      </c>
      <c r="P165" s="63" t="s">
        <v>292</v>
      </c>
      <c r="Q165" s="66">
        <v>45786</v>
      </c>
      <c r="R165" s="74"/>
      <c r="S165" s="44"/>
      <c r="T165" s="66">
        <v>45786</v>
      </c>
      <c r="U165" s="66">
        <v>45786</v>
      </c>
      <c r="V165" s="92">
        <v>0.99</v>
      </c>
      <c r="W165" s="63" t="s">
        <v>110</v>
      </c>
      <c r="X165" s="63"/>
      <c r="Y165" s="63"/>
      <c r="Z165" s="63" t="s">
        <v>47</v>
      </c>
      <c r="AA165" s="63">
        <v>3600</v>
      </c>
      <c r="AB165" s="63">
        <v>3600</v>
      </c>
      <c r="AC165" s="63" t="s">
        <v>46</v>
      </c>
      <c r="AD165" s="73">
        <v>45789</v>
      </c>
      <c r="AE165" s="67"/>
      <c r="AF165" s="67" t="s">
        <v>69</v>
      </c>
    </row>
    <row r="166" spans="1:32">
      <c r="B166" s="10" t="s">
        <v>63</v>
      </c>
      <c r="D166" s="151">
        <v>160</v>
      </c>
      <c r="E166" s="63" t="s">
        <v>290</v>
      </c>
      <c r="F166" s="64" t="s">
        <v>291</v>
      </c>
      <c r="G166" s="63" t="s">
        <v>102</v>
      </c>
      <c r="H166" s="65"/>
      <c r="I166" s="63" t="s">
        <v>65</v>
      </c>
      <c r="J166" s="64" t="s">
        <v>103</v>
      </c>
      <c r="K166" s="63">
        <v>400</v>
      </c>
      <c r="L166" s="65">
        <v>400</v>
      </c>
      <c r="M166" s="118">
        <v>45896</v>
      </c>
      <c r="N166" s="66">
        <v>45871</v>
      </c>
      <c r="O166" s="66">
        <v>45871</v>
      </c>
      <c r="P166" s="63" t="s">
        <v>292</v>
      </c>
      <c r="Q166" s="66"/>
      <c r="R166" s="74"/>
      <c r="S166" s="44"/>
      <c r="T166" s="66"/>
      <c r="U166" s="66"/>
      <c r="V166" s="92"/>
      <c r="W166" s="63"/>
      <c r="X166" s="63"/>
      <c r="Y166" s="63"/>
      <c r="Z166" s="63" t="s">
        <v>47</v>
      </c>
      <c r="AA166" s="63">
        <v>3600</v>
      </c>
      <c r="AB166" s="63">
        <v>3600</v>
      </c>
      <c r="AC166" s="10" t="s">
        <v>68</v>
      </c>
      <c r="AD166" s="66">
        <v>45939</v>
      </c>
      <c r="AE166" s="67">
        <v>3</v>
      </c>
      <c r="AF166" s="67" t="s">
        <v>267</v>
      </c>
    </row>
    <row r="167" spans="1:32">
      <c r="D167" s="151">
        <v>161</v>
      </c>
      <c r="E167" s="108" t="s">
        <v>296</v>
      </c>
      <c r="F167" s="109" t="s">
        <v>297</v>
      </c>
      <c r="G167" s="108" t="s">
        <v>40</v>
      </c>
      <c r="H167" s="108" t="str">
        <f>CONCATENATE(E167,"_",F167,"_",G167)</f>
        <v>A065_Satvika Yadav_A03</v>
      </c>
      <c r="I167" s="108" t="s">
        <v>114</v>
      </c>
      <c r="J167" s="109" t="s">
        <v>41</v>
      </c>
      <c r="K167" s="108">
        <v>600</v>
      </c>
      <c r="L167" s="108">
        <v>600</v>
      </c>
      <c r="M167" s="110">
        <v>45637</v>
      </c>
      <c r="N167" s="110">
        <v>45638</v>
      </c>
      <c r="O167" s="110">
        <v>45627</v>
      </c>
      <c r="P167" s="108" t="s">
        <v>77</v>
      </c>
      <c r="Q167" s="108"/>
      <c r="R167" s="91">
        <f ca="1">(IF(Q167="",(TODAY()-O167),(Q167-O167)))/30</f>
        <v>11.966666666666667</v>
      </c>
      <c r="S167" s="25">
        <f ca="1">ROUNDUP(R167*8,0)</f>
        <v>96</v>
      </c>
      <c r="T167" s="108"/>
      <c r="U167" s="108"/>
      <c r="V167" s="108"/>
      <c r="W167" s="108"/>
      <c r="X167" s="108"/>
      <c r="Y167" s="108"/>
      <c r="Z167" s="108" t="s">
        <v>47</v>
      </c>
      <c r="AA167" s="108">
        <v>3600</v>
      </c>
      <c r="AB167" s="108">
        <v>3600</v>
      </c>
      <c r="AC167" s="108" t="s">
        <v>61</v>
      </c>
      <c r="AD167" s="111">
        <v>45637</v>
      </c>
      <c r="AE167" s="112"/>
      <c r="AF167" s="112"/>
    </row>
    <row r="168" spans="1:32">
      <c r="D168" s="151">
        <v>162</v>
      </c>
      <c r="E168" s="63" t="s">
        <v>298</v>
      </c>
      <c r="F168" s="64" t="s">
        <v>299</v>
      </c>
      <c r="G168" s="63" t="s">
        <v>93</v>
      </c>
      <c r="H168" s="65" t="str">
        <f>CONCATENATE(E168,"_",F168,"_",G168)</f>
        <v>A066_Hitansh Agarwal_A02</v>
      </c>
      <c r="I168" s="63" t="s">
        <v>35</v>
      </c>
      <c r="J168" s="64" t="s">
        <v>300</v>
      </c>
      <c r="K168" s="63">
        <v>1600</v>
      </c>
      <c r="L168" s="63">
        <v>1600</v>
      </c>
      <c r="M168" s="66">
        <v>45677</v>
      </c>
      <c r="N168" s="66">
        <v>45680</v>
      </c>
      <c r="O168" s="66">
        <v>45678</v>
      </c>
      <c r="P168" s="63" t="s">
        <v>77</v>
      </c>
      <c r="Q168" s="66">
        <v>45782</v>
      </c>
      <c r="R168" s="63"/>
      <c r="S168" s="63"/>
      <c r="T168" s="66">
        <v>45780</v>
      </c>
      <c r="U168" s="66">
        <v>45782</v>
      </c>
      <c r="V168" s="92">
        <v>0.96</v>
      </c>
      <c r="W168" s="63" t="s">
        <v>46</v>
      </c>
      <c r="X168" s="63">
        <v>5</v>
      </c>
      <c r="Y168" s="63"/>
      <c r="Z168" s="63" t="s">
        <v>152</v>
      </c>
      <c r="AA168" s="63">
        <v>3600</v>
      </c>
      <c r="AB168" s="63">
        <v>3600</v>
      </c>
      <c r="AC168" s="63" t="s">
        <v>46</v>
      </c>
      <c r="AD168" s="73">
        <v>45782</v>
      </c>
      <c r="AE168" s="67">
        <v>3</v>
      </c>
      <c r="AF168" s="67" t="s">
        <v>176</v>
      </c>
    </row>
    <row r="169" spans="1:32">
      <c r="B169" s="10" t="s">
        <v>63</v>
      </c>
      <c r="D169" s="151">
        <v>163</v>
      </c>
      <c r="E169" s="63" t="s">
        <v>298</v>
      </c>
      <c r="F169" s="64" t="s">
        <v>299</v>
      </c>
      <c r="G169" s="63" t="s">
        <v>40</v>
      </c>
      <c r="H169" s="65" t="str">
        <f>CONCATENATE(E169,"_",F169,"_",G169)</f>
        <v>A066_Hitansh Agarwal_A03</v>
      </c>
      <c r="I169" s="63" t="s">
        <v>65</v>
      </c>
      <c r="J169" s="64" t="s">
        <v>217</v>
      </c>
      <c r="K169" s="63">
        <v>400</v>
      </c>
      <c r="L169" s="63"/>
      <c r="M169" s="66">
        <v>45815</v>
      </c>
      <c r="N169" s="66">
        <v>45815</v>
      </c>
      <c r="O169" s="66">
        <v>45815</v>
      </c>
      <c r="P169" s="63" t="s">
        <v>253</v>
      </c>
      <c r="Q169" s="66"/>
      <c r="R169" s="63"/>
      <c r="S169" s="63"/>
      <c r="T169" s="66"/>
      <c r="U169" s="66"/>
      <c r="V169" s="92"/>
      <c r="W169" s="63"/>
      <c r="X169" s="63"/>
      <c r="Y169" s="63"/>
      <c r="Z169" s="63" t="s">
        <v>106</v>
      </c>
      <c r="AA169" s="63">
        <v>3600</v>
      </c>
      <c r="AB169" s="63">
        <v>3600</v>
      </c>
      <c r="AC169" s="63" t="s">
        <v>110</v>
      </c>
      <c r="AD169" s="73">
        <v>45925</v>
      </c>
      <c r="AE169" s="67"/>
      <c r="AF169" s="67"/>
    </row>
    <row r="170" spans="1:32">
      <c r="D170" s="151">
        <v>164</v>
      </c>
      <c r="E170" s="63" t="s">
        <v>301</v>
      </c>
      <c r="F170" s="64" t="s">
        <v>302</v>
      </c>
      <c r="G170" s="63" t="s">
        <v>93</v>
      </c>
      <c r="H170" s="65" t="str">
        <f>CONCATENATE(E170,"_",F170,"_",G170)</f>
        <v>A067_Hitanshi Agarwal_A02</v>
      </c>
      <c r="I170" s="63" t="s">
        <v>35</v>
      </c>
      <c r="J170" s="64" t="s">
        <v>216</v>
      </c>
      <c r="K170" s="63">
        <v>1600</v>
      </c>
      <c r="L170" s="63">
        <v>1600</v>
      </c>
      <c r="M170" s="66">
        <v>45677</v>
      </c>
      <c r="N170" s="66">
        <v>45680</v>
      </c>
      <c r="O170" s="66">
        <v>45678</v>
      </c>
      <c r="P170" s="63" t="s">
        <v>77</v>
      </c>
      <c r="Q170" s="66">
        <v>45780</v>
      </c>
      <c r="R170" s="63"/>
      <c r="S170" s="63"/>
      <c r="T170" s="66">
        <v>45780</v>
      </c>
      <c r="U170" s="66">
        <v>45780</v>
      </c>
      <c r="V170" s="92">
        <v>1</v>
      </c>
      <c r="W170" s="63" t="s">
        <v>46</v>
      </c>
      <c r="X170" s="63">
        <v>5</v>
      </c>
      <c r="Y170" s="63"/>
      <c r="Z170" s="63" t="s">
        <v>152</v>
      </c>
      <c r="AA170" s="63">
        <v>3600</v>
      </c>
      <c r="AB170" s="63">
        <v>3600</v>
      </c>
      <c r="AC170" s="63" t="s">
        <v>46</v>
      </c>
      <c r="AD170" s="73">
        <v>45782</v>
      </c>
      <c r="AE170" s="67">
        <v>3</v>
      </c>
      <c r="AF170" s="67" t="s">
        <v>176</v>
      </c>
    </row>
    <row r="171" spans="1:32">
      <c r="B171" s="10" t="s">
        <v>63</v>
      </c>
      <c r="D171" s="151">
        <v>165</v>
      </c>
      <c r="E171" s="63" t="s">
        <v>301</v>
      </c>
      <c r="F171" s="64" t="s">
        <v>302</v>
      </c>
      <c r="G171" s="63" t="s">
        <v>40</v>
      </c>
      <c r="H171" s="65" t="str">
        <f>CONCATENATE(E171,"_",F171,"_",G171)</f>
        <v>A067_Hitanshi Agarwal_A03</v>
      </c>
      <c r="I171" s="63" t="s">
        <v>65</v>
      </c>
      <c r="J171" s="64" t="s">
        <v>217</v>
      </c>
      <c r="K171" s="63">
        <v>400</v>
      </c>
      <c r="L171" s="63"/>
      <c r="M171" s="66">
        <v>45815</v>
      </c>
      <c r="N171" s="66">
        <v>45815</v>
      </c>
      <c r="O171" s="66">
        <v>45815</v>
      </c>
      <c r="P171" s="63" t="s">
        <v>253</v>
      </c>
      <c r="Q171" s="66"/>
      <c r="R171" s="63"/>
      <c r="S171" s="63"/>
      <c r="T171" s="66"/>
      <c r="U171" s="66"/>
      <c r="V171" s="92"/>
      <c r="W171" s="63"/>
      <c r="X171" s="63"/>
      <c r="Y171" s="63"/>
      <c r="Z171" s="63" t="s">
        <v>106</v>
      </c>
      <c r="AA171" s="63">
        <v>3600</v>
      </c>
      <c r="AB171" s="63">
        <v>3600</v>
      </c>
      <c r="AC171" s="63" t="s">
        <v>110</v>
      </c>
      <c r="AD171" s="73">
        <v>45925</v>
      </c>
      <c r="AE171" s="67"/>
      <c r="AF171" s="67" t="s">
        <v>303</v>
      </c>
    </row>
    <row r="172" spans="1:32">
      <c r="D172" s="151">
        <v>166</v>
      </c>
      <c r="E172" s="136" t="s">
        <v>304</v>
      </c>
      <c r="F172" s="137" t="s">
        <v>305</v>
      </c>
      <c r="G172" s="136" t="s">
        <v>40</v>
      </c>
      <c r="H172" s="136" t="str">
        <f>CONCATENATE(E172,"_",F172,"_",G172)</f>
        <v>A068_Manan Garg_A03</v>
      </c>
      <c r="I172" s="136" t="s">
        <v>35</v>
      </c>
      <c r="J172" s="137" t="s">
        <v>217</v>
      </c>
      <c r="K172" s="136">
        <v>1600</v>
      </c>
      <c r="L172" s="136">
        <v>1600</v>
      </c>
      <c r="M172" s="138">
        <v>45667</v>
      </c>
      <c r="N172" s="139">
        <v>45667</v>
      </c>
      <c r="O172" s="138">
        <v>45667</v>
      </c>
      <c r="P172" s="136" t="s">
        <v>67</v>
      </c>
      <c r="Q172" s="138">
        <v>45773</v>
      </c>
      <c r="R172" s="136"/>
      <c r="S172" s="136"/>
      <c r="T172" s="138">
        <v>45773</v>
      </c>
      <c r="U172" s="138">
        <v>45773</v>
      </c>
      <c r="V172" s="140">
        <v>0.95</v>
      </c>
      <c r="W172" s="136" t="s">
        <v>46</v>
      </c>
      <c r="X172" s="136">
        <v>5</v>
      </c>
      <c r="Y172" s="136"/>
      <c r="Z172" s="136" t="s">
        <v>152</v>
      </c>
      <c r="AA172" s="136">
        <v>3600</v>
      </c>
      <c r="AB172" s="136">
        <v>4800</v>
      </c>
      <c r="AC172" s="136" t="s">
        <v>46</v>
      </c>
      <c r="AD172" s="141">
        <v>45772</v>
      </c>
      <c r="AE172" s="142">
        <v>4</v>
      </c>
      <c r="AF172" s="142" t="s">
        <v>111</v>
      </c>
    </row>
    <row r="173" spans="1:32">
      <c r="D173" s="151">
        <v>167</v>
      </c>
      <c r="E173" s="63" t="s">
        <v>306</v>
      </c>
      <c r="F173" s="64" t="s">
        <v>307</v>
      </c>
      <c r="G173" s="63" t="s">
        <v>93</v>
      </c>
      <c r="H173" s="65" t="str">
        <f>CONCATENATE(E173,"_",F173,"_",G173)</f>
        <v>A069_Viraj Sethi_A02</v>
      </c>
      <c r="I173" s="63" t="s">
        <v>35</v>
      </c>
      <c r="J173" s="64" t="s">
        <v>94</v>
      </c>
      <c r="K173" s="63">
        <v>1600</v>
      </c>
      <c r="L173" s="63">
        <v>1600</v>
      </c>
      <c r="M173" s="66">
        <v>45693</v>
      </c>
      <c r="N173" s="89">
        <v>45698</v>
      </c>
      <c r="O173" s="66">
        <v>45691</v>
      </c>
      <c r="P173" s="63" t="s">
        <v>266</v>
      </c>
      <c r="Q173" s="66">
        <v>45817</v>
      </c>
      <c r="R173" s="63"/>
      <c r="S173" s="63"/>
      <c r="T173" s="63"/>
      <c r="U173" s="63"/>
      <c r="V173" s="63"/>
      <c r="W173" s="63"/>
      <c r="X173" s="63"/>
      <c r="Y173" s="63"/>
      <c r="Z173" s="63" t="s">
        <v>152</v>
      </c>
      <c r="AA173" s="63">
        <v>3600</v>
      </c>
      <c r="AB173" s="63">
        <v>3600</v>
      </c>
      <c r="AC173" s="63" t="s">
        <v>46</v>
      </c>
      <c r="AD173" s="73">
        <v>45750</v>
      </c>
      <c r="AE173" s="67">
        <v>3</v>
      </c>
      <c r="AF173" s="67" t="s">
        <v>267</v>
      </c>
    </row>
    <row r="174" spans="1:32">
      <c r="A174" s="10" t="s">
        <v>308</v>
      </c>
      <c r="B174" s="10" t="s">
        <v>107</v>
      </c>
      <c r="D174" s="151">
        <v>168</v>
      </c>
      <c r="E174" s="63" t="s">
        <v>306</v>
      </c>
      <c r="F174" s="64" t="s">
        <v>307</v>
      </c>
      <c r="G174" s="63" t="s">
        <v>40</v>
      </c>
      <c r="H174" s="65" t="str">
        <f>CONCATENATE(E174,"_",F174,"_",G174)</f>
        <v>A069_Viraj Sethi_A03</v>
      </c>
      <c r="I174" s="63" t="s">
        <v>65</v>
      </c>
      <c r="J174" s="64" t="s">
        <v>217</v>
      </c>
      <c r="K174" s="63">
        <v>400</v>
      </c>
      <c r="L174" s="63">
        <v>400</v>
      </c>
      <c r="M174" s="66">
        <v>45817</v>
      </c>
      <c r="N174" s="89">
        <v>45817</v>
      </c>
      <c r="O174" s="66">
        <v>45817</v>
      </c>
      <c r="P174" s="63" t="s">
        <v>266</v>
      </c>
      <c r="Q174" s="63"/>
      <c r="R174" s="63"/>
      <c r="S174" s="63"/>
      <c r="T174" s="63"/>
      <c r="U174" s="63"/>
      <c r="V174" s="63"/>
      <c r="W174" s="63"/>
      <c r="X174" s="63"/>
      <c r="Y174" s="63"/>
      <c r="Z174" s="63" t="s">
        <v>106</v>
      </c>
      <c r="AA174" s="63">
        <v>3600</v>
      </c>
      <c r="AB174" s="63">
        <v>2400</v>
      </c>
      <c r="AC174" s="63" t="s">
        <v>110</v>
      </c>
      <c r="AD174" s="73">
        <v>45875</v>
      </c>
      <c r="AE174" s="67"/>
      <c r="AF174" s="67" t="s">
        <v>111</v>
      </c>
    </row>
    <row r="175" spans="1:32">
      <c r="D175" s="151">
        <v>169</v>
      </c>
      <c r="E175" s="63" t="s">
        <v>309</v>
      </c>
      <c r="F175" s="64" t="s">
        <v>310</v>
      </c>
      <c r="G175" s="63" t="s">
        <v>93</v>
      </c>
      <c r="H175" s="65" t="str">
        <f>CONCATENATE(E175,"_",F175,"_",G175)</f>
        <v>A070_Shaurya Sachin Atkare_A02</v>
      </c>
      <c r="I175" s="63" t="s">
        <v>35</v>
      </c>
      <c r="J175" s="64" t="s">
        <v>216</v>
      </c>
      <c r="K175" s="63">
        <v>1600</v>
      </c>
      <c r="L175" s="63">
        <v>1600</v>
      </c>
      <c r="M175" s="66">
        <v>45708</v>
      </c>
      <c r="N175" s="66">
        <v>45714</v>
      </c>
      <c r="O175" s="66">
        <v>45712</v>
      </c>
      <c r="P175" s="63" t="s">
        <v>266</v>
      </c>
      <c r="Q175" s="63"/>
      <c r="R175" s="63"/>
      <c r="S175" s="63"/>
      <c r="T175" s="63"/>
      <c r="U175" s="63"/>
      <c r="V175" s="63"/>
      <c r="W175" s="63"/>
      <c r="X175" s="63"/>
      <c r="Y175" s="63"/>
      <c r="Z175" s="63" t="s">
        <v>236</v>
      </c>
      <c r="AA175" s="63">
        <v>3600</v>
      </c>
      <c r="AB175" s="63">
        <v>3600</v>
      </c>
      <c r="AC175" s="63" t="s">
        <v>68</v>
      </c>
      <c r="AD175" s="73">
        <v>45868</v>
      </c>
      <c r="AE175" s="67"/>
      <c r="AF175" s="67"/>
    </row>
    <row r="176" spans="1:32">
      <c r="B176" s="10" t="s">
        <v>107</v>
      </c>
      <c r="D176" s="151">
        <v>170</v>
      </c>
      <c r="E176" s="63" t="s">
        <v>309</v>
      </c>
      <c r="F176" s="64" t="s">
        <v>310</v>
      </c>
      <c r="G176" s="63" t="s">
        <v>40</v>
      </c>
      <c r="H176" s="65" t="str">
        <f>CONCATENATE(E176,"_",F176,"_",G176)</f>
        <v>A070_Shaurya Sachin Atkare_A03</v>
      </c>
      <c r="I176" s="63" t="s">
        <v>65</v>
      </c>
      <c r="J176" s="64" t="s">
        <v>217</v>
      </c>
      <c r="K176" s="63">
        <v>800</v>
      </c>
      <c r="L176" s="63">
        <v>800</v>
      </c>
      <c r="M176" s="66">
        <v>45915</v>
      </c>
      <c r="N176" s="66">
        <v>45926</v>
      </c>
      <c r="O176" s="66">
        <v>45915</v>
      </c>
      <c r="P176" s="63" t="s">
        <v>266</v>
      </c>
      <c r="Q176" s="63"/>
      <c r="R176" s="63"/>
      <c r="S176" s="63"/>
      <c r="T176" s="63"/>
      <c r="U176" s="63"/>
      <c r="V176" s="63"/>
      <c r="W176" s="63"/>
      <c r="X176" s="63"/>
      <c r="Y176" s="63"/>
      <c r="Z176" s="63" t="s">
        <v>152</v>
      </c>
      <c r="AA176" s="63">
        <v>4800</v>
      </c>
      <c r="AB176" s="63">
        <v>1600</v>
      </c>
      <c r="AC176" s="63" t="s">
        <v>110</v>
      </c>
      <c r="AD176" s="73">
        <v>45938</v>
      </c>
      <c r="AE176" s="67">
        <v>1</v>
      </c>
      <c r="AF176" s="67" t="s">
        <v>311</v>
      </c>
    </row>
    <row r="177" spans="1:32">
      <c r="D177" s="151">
        <v>171</v>
      </c>
      <c r="E177" s="63" t="s">
        <v>312</v>
      </c>
      <c r="F177" s="64" t="s">
        <v>313</v>
      </c>
      <c r="G177" s="63" t="s">
        <v>34</v>
      </c>
      <c r="H177" s="65" t="str">
        <f>CONCATENATE(E177,"_",F177,"_",G177)</f>
        <v>A071_Manan Mulchandani_A01</v>
      </c>
      <c r="I177" s="63" t="s">
        <v>150</v>
      </c>
      <c r="J177" s="64" t="s">
        <v>314</v>
      </c>
      <c r="K177" s="63">
        <v>1600</v>
      </c>
      <c r="L177" s="63">
        <v>1600</v>
      </c>
      <c r="M177" s="66">
        <v>45711</v>
      </c>
      <c r="N177" s="66">
        <v>45711</v>
      </c>
      <c r="O177" s="66">
        <v>45711</v>
      </c>
      <c r="P177" s="63" t="s">
        <v>77</v>
      </c>
      <c r="Q177" s="66">
        <v>45780</v>
      </c>
      <c r="R177" s="63"/>
      <c r="S177" s="63"/>
      <c r="T177" s="66">
        <v>45780</v>
      </c>
      <c r="U177" s="66">
        <v>45780</v>
      </c>
      <c r="V177" s="92">
        <v>1</v>
      </c>
      <c r="W177" s="63" t="s">
        <v>46</v>
      </c>
      <c r="X177" s="63">
        <v>5</v>
      </c>
      <c r="Y177" s="63"/>
      <c r="Z177" s="63" t="s">
        <v>152</v>
      </c>
      <c r="AA177" s="63">
        <v>3600</v>
      </c>
      <c r="AB177" s="63">
        <v>3600</v>
      </c>
      <c r="AC177" s="63" t="s">
        <v>46</v>
      </c>
      <c r="AD177" s="73">
        <v>45780</v>
      </c>
      <c r="AE177" s="67">
        <v>3</v>
      </c>
      <c r="AF177" s="67" t="s">
        <v>176</v>
      </c>
    </row>
    <row r="178" spans="1:32">
      <c r="D178" s="151">
        <v>172</v>
      </c>
      <c r="E178" s="63" t="s">
        <v>312</v>
      </c>
      <c r="F178" s="64" t="s">
        <v>313</v>
      </c>
      <c r="G178" s="63" t="s">
        <v>93</v>
      </c>
      <c r="H178" s="65"/>
      <c r="I178" s="63" t="s">
        <v>35</v>
      </c>
      <c r="J178" s="64" t="s">
        <v>94</v>
      </c>
      <c r="K178" s="63">
        <v>400</v>
      </c>
      <c r="L178" s="63">
        <v>400</v>
      </c>
      <c r="M178" s="66">
        <v>45823</v>
      </c>
      <c r="N178" s="66">
        <v>45817</v>
      </c>
      <c r="O178" s="66">
        <v>45823</v>
      </c>
      <c r="P178" s="63" t="s">
        <v>315</v>
      </c>
      <c r="Q178" s="66"/>
      <c r="R178" s="63"/>
      <c r="S178" s="63"/>
      <c r="T178" s="66"/>
      <c r="U178" s="66"/>
      <c r="V178" s="92"/>
      <c r="W178" s="63"/>
      <c r="X178" s="63"/>
      <c r="Y178" s="63"/>
      <c r="Z178" s="63" t="s">
        <v>293</v>
      </c>
      <c r="AA178" s="63">
        <v>3600</v>
      </c>
      <c r="AB178" s="63">
        <v>3600</v>
      </c>
      <c r="AC178" s="63" t="s">
        <v>68</v>
      </c>
      <c r="AD178" s="73">
        <v>45906</v>
      </c>
      <c r="AE178" s="67">
        <v>3</v>
      </c>
      <c r="AF178" s="67" t="s">
        <v>176</v>
      </c>
    </row>
    <row r="179" spans="1:32">
      <c r="B179" s="10" t="s">
        <v>63</v>
      </c>
      <c r="D179" s="151">
        <v>173</v>
      </c>
      <c r="E179" s="63" t="s">
        <v>312</v>
      </c>
      <c r="F179" s="64" t="s">
        <v>313</v>
      </c>
      <c r="G179" s="63" t="s">
        <v>40</v>
      </c>
      <c r="H179" s="65"/>
      <c r="I179" s="63" t="s">
        <v>65</v>
      </c>
      <c r="J179" s="64" t="s">
        <v>41</v>
      </c>
      <c r="K179" s="63">
        <v>400</v>
      </c>
      <c r="L179" s="63">
        <v>400</v>
      </c>
      <c r="M179" s="66">
        <v>45906</v>
      </c>
      <c r="N179" s="66">
        <v>45906</v>
      </c>
      <c r="O179" s="66">
        <v>45906</v>
      </c>
      <c r="P179" s="63" t="s">
        <v>316</v>
      </c>
      <c r="Q179" s="66"/>
      <c r="R179" s="63"/>
      <c r="S179" s="63"/>
      <c r="T179" s="66"/>
      <c r="U179" s="66"/>
      <c r="V179" s="92"/>
      <c r="W179" s="63"/>
      <c r="X179" s="63"/>
      <c r="Y179" s="63"/>
      <c r="Z179" s="63" t="s">
        <v>293</v>
      </c>
      <c r="AA179" s="63">
        <v>4800</v>
      </c>
      <c r="AB179" s="63"/>
      <c r="AC179" s="63"/>
      <c r="AD179" s="73"/>
      <c r="AE179" s="67"/>
      <c r="AF179" s="67"/>
    </row>
    <row r="180" spans="1:32">
      <c r="D180" s="151">
        <v>174</v>
      </c>
      <c r="E180" s="63" t="s">
        <v>317</v>
      </c>
      <c r="F180" s="64" t="s">
        <v>318</v>
      </c>
      <c r="G180" s="63" t="s">
        <v>40</v>
      </c>
      <c r="H180" s="65" t="str">
        <f>CONCATENATE(E180,"_",F180,"_",G180)</f>
        <v>A072_Hazel Lalvani_A03</v>
      </c>
      <c r="I180" s="63" t="s">
        <v>35</v>
      </c>
      <c r="J180" s="64" t="s">
        <v>41</v>
      </c>
      <c r="K180" s="63">
        <v>1600</v>
      </c>
      <c r="L180" s="63">
        <v>1600</v>
      </c>
      <c r="M180" s="66">
        <v>45740</v>
      </c>
      <c r="N180" s="89">
        <v>45741</v>
      </c>
      <c r="O180" s="66">
        <v>45739</v>
      </c>
      <c r="P180" s="63" t="s">
        <v>292</v>
      </c>
      <c r="Q180" s="66">
        <v>45893</v>
      </c>
      <c r="R180" s="63"/>
      <c r="S180" s="63"/>
      <c r="T180" s="66">
        <v>45893</v>
      </c>
      <c r="U180" s="66">
        <v>45893</v>
      </c>
      <c r="V180" s="92">
        <v>0.98</v>
      </c>
      <c r="W180" s="63" t="s">
        <v>46</v>
      </c>
      <c r="X180" s="63">
        <v>5</v>
      </c>
      <c r="Y180" s="63"/>
      <c r="Z180" s="63" t="s">
        <v>236</v>
      </c>
      <c r="AA180" s="63">
        <v>3600</v>
      </c>
      <c r="AB180" s="63">
        <v>3600</v>
      </c>
      <c r="AC180" s="63" t="s">
        <v>61</v>
      </c>
      <c r="AD180" s="73">
        <v>45885</v>
      </c>
      <c r="AE180" s="67"/>
      <c r="AF180" s="67" t="s">
        <v>176</v>
      </c>
    </row>
    <row r="181" spans="1:32">
      <c r="B181" s="10" t="s">
        <v>107</v>
      </c>
      <c r="D181" s="151">
        <v>175</v>
      </c>
      <c r="E181" s="63" t="s">
        <v>317</v>
      </c>
      <c r="F181" s="64" t="s">
        <v>318</v>
      </c>
      <c r="G181" s="63" t="s">
        <v>83</v>
      </c>
      <c r="H181" s="65" t="str">
        <f>CONCATENATE(E181,"_",F181,"_",G181)</f>
        <v>A072_Hazel Lalvani_A04</v>
      </c>
      <c r="I181" s="63" t="s">
        <v>65</v>
      </c>
      <c r="J181" s="64" t="s">
        <v>84</v>
      </c>
      <c r="K181" s="63">
        <v>400</v>
      </c>
      <c r="L181" s="63">
        <v>400</v>
      </c>
      <c r="M181" s="66">
        <v>45900</v>
      </c>
      <c r="N181" s="89">
        <v>45893</v>
      </c>
      <c r="O181" s="66">
        <v>45893</v>
      </c>
      <c r="P181" s="63" t="s">
        <v>253</v>
      </c>
      <c r="Q181" s="63"/>
      <c r="R181" s="63"/>
      <c r="S181" s="63"/>
      <c r="T181" s="63"/>
      <c r="U181" s="63"/>
      <c r="V181" s="63"/>
      <c r="W181" s="63"/>
      <c r="X181" s="63"/>
      <c r="Y181" s="63"/>
      <c r="Z181" s="63" t="s">
        <v>293</v>
      </c>
      <c r="AA181" s="63">
        <v>4800</v>
      </c>
      <c r="AB181" s="63"/>
      <c r="AC181" s="63"/>
      <c r="AD181" s="67"/>
      <c r="AE181" s="67"/>
      <c r="AF181" s="67"/>
    </row>
    <row r="182" spans="1:32">
      <c r="D182" s="151">
        <v>176</v>
      </c>
      <c r="E182" s="63" t="s">
        <v>319</v>
      </c>
      <c r="F182" s="64" t="s">
        <v>320</v>
      </c>
      <c r="G182" s="63" t="s">
        <v>93</v>
      </c>
      <c r="H182" s="65" t="str">
        <f>CONCATENATE(E182,"_",F182,"_",G182)</f>
        <v>A073_Vivaan Dabe_A02</v>
      </c>
      <c r="I182" s="63" t="s">
        <v>35</v>
      </c>
      <c r="J182" s="64" t="s">
        <v>94</v>
      </c>
      <c r="K182" s="63">
        <v>1600</v>
      </c>
      <c r="L182" s="63">
        <v>1600</v>
      </c>
      <c r="M182" s="66">
        <v>45739</v>
      </c>
      <c r="N182" s="89">
        <v>45745</v>
      </c>
      <c r="O182" s="66">
        <v>45745</v>
      </c>
      <c r="P182" s="63" t="s">
        <v>294</v>
      </c>
      <c r="Q182" s="66">
        <v>45894</v>
      </c>
      <c r="R182" s="63"/>
      <c r="S182" s="63"/>
      <c r="T182" s="66">
        <v>45894</v>
      </c>
      <c r="U182" s="66">
        <v>45894</v>
      </c>
      <c r="V182" s="92">
        <v>1</v>
      </c>
      <c r="W182" s="63" t="s">
        <v>46</v>
      </c>
      <c r="X182" s="63">
        <v>5</v>
      </c>
      <c r="Y182" s="63"/>
      <c r="Z182" s="63" t="s">
        <v>293</v>
      </c>
      <c r="AA182" s="63">
        <v>3600</v>
      </c>
      <c r="AB182" s="63">
        <v>3600</v>
      </c>
      <c r="AC182" s="89" t="s">
        <v>68</v>
      </c>
      <c r="AD182" s="73">
        <v>45840</v>
      </c>
      <c r="AE182" s="67"/>
      <c r="AF182" s="67" t="s">
        <v>140</v>
      </c>
    </row>
    <row r="183" spans="1:32">
      <c r="B183" s="10" t="s">
        <v>63</v>
      </c>
      <c r="D183" s="151"/>
      <c r="E183" s="63" t="s">
        <v>319</v>
      </c>
      <c r="F183" s="64" t="s">
        <v>320</v>
      </c>
      <c r="G183" s="63" t="s">
        <v>40</v>
      </c>
      <c r="H183" s="65" t="str">
        <f>CONCATENATE(E183,"_",F183,"_",G183)</f>
        <v>A073_Vivaan Dabe_A03</v>
      </c>
      <c r="I183" s="63" t="s">
        <v>65</v>
      </c>
      <c r="J183" s="99" t="s">
        <v>217</v>
      </c>
      <c r="K183" s="98">
        <v>400</v>
      </c>
      <c r="L183" s="98">
        <v>400</v>
      </c>
      <c r="M183" s="101">
        <v>45894</v>
      </c>
      <c r="N183" s="135">
        <v>45894</v>
      </c>
      <c r="O183" s="101">
        <v>45901</v>
      </c>
      <c r="P183" s="98" t="s">
        <v>266</v>
      </c>
      <c r="Q183" s="101"/>
      <c r="R183" s="98"/>
      <c r="S183" s="98"/>
      <c r="T183" s="101"/>
      <c r="U183" s="101"/>
      <c r="V183" s="114"/>
      <c r="W183" s="98"/>
      <c r="X183" s="98"/>
      <c r="Y183" s="98"/>
      <c r="Z183" s="98" t="s">
        <v>236</v>
      </c>
      <c r="AA183" s="98">
        <v>3600</v>
      </c>
      <c r="AB183" s="98">
        <v>3600</v>
      </c>
      <c r="AC183" s="135" t="s">
        <v>68</v>
      </c>
      <c r="AD183" s="116">
        <v>45903</v>
      </c>
      <c r="AE183" s="102"/>
      <c r="AF183" s="102" t="s">
        <v>69</v>
      </c>
    </row>
    <row r="184" spans="1:32">
      <c r="D184" s="151">
        <v>171</v>
      </c>
      <c r="E184" s="98" t="s">
        <v>321</v>
      </c>
      <c r="F184" s="99" t="s">
        <v>322</v>
      </c>
      <c r="G184" s="98" t="s">
        <v>40</v>
      </c>
      <c r="H184" s="100" t="str">
        <f>CONCATENATE(E184,"_",F184,"_",G184)</f>
        <v>A074_Vedika Shinde_A03</v>
      </c>
      <c r="I184" s="98" t="s">
        <v>35</v>
      </c>
      <c r="J184" s="99" t="s">
        <v>217</v>
      </c>
      <c r="K184" s="98">
        <v>600</v>
      </c>
      <c r="L184" s="98">
        <v>600</v>
      </c>
      <c r="M184" s="101">
        <v>45756</v>
      </c>
      <c r="N184" s="101">
        <v>45750</v>
      </c>
      <c r="O184" s="101">
        <v>45748</v>
      </c>
      <c r="P184" s="98" t="s">
        <v>294</v>
      </c>
      <c r="Q184" s="101">
        <v>45789</v>
      </c>
      <c r="R184" s="98"/>
      <c r="S184" s="98"/>
      <c r="T184" s="101">
        <v>45789</v>
      </c>
      <c r="U184" s="101">
        <v>45789</v>
      </c>
      <c r="V184" s="114">
        <v>0.97</v>
      </c>
      <c r="W184" s="98" t="s">
        <v>46</v>
      </c>
      <c r="X184" s="98">
        <v>5</v>
      </c>
      <c r="Y184" s="98"/>
      <c r="Z184" s="98" t="s">
        <v>47</v>
      </c>
      <c r="AA184" s="98">
        <v>3600</v>
      </c>
      <c r="AB184" s="98">
        <v>3600</v>
      </c>
      <c r="AC184" s="98" t="s">
        <v>46</v>
      </c>
      <c r="AD184" s="116">
        <v>45790</v>
      </c>
      <c r="AE184" s="102"/>
      <c r="AF184" s="102" t="s">
        <v>111</v>
      </c>
    </row>
    <row r="185" spans="1:32">
      <c r="D185" s="151">
        <v>172</v>
      </c>
      <c r="E185" s="98" t="s">
        <v>321</v>
      </c>
      <c r="F185" s="99" t="s">
        <v>322</v>
      </c>
      <c r="G185" s="132" t="s">
        <v>83</v>
      </c>
      <c r="H185" s="44"/>
      <c r="I185" s="98" t="s">
        <v>35</v>
      </c>
      <c r="J185" s="127" t="s">
        <v>84</v>
      </c>
      <c r="K185" s="126">
        <v>400</v>
      </c>
      <c r="L185" s="126">
        <v>400</v>
      </c>
      <c r="M185" s="118"/>
      <c r="N185" s="118"/>
      <c r="O185" s="118"/>
      <c r="P185" s="126" t="s">
        <v>294</v>
      </c>
      <c r="Q185" s="118">
        <v>45868</v>
      </c>
      <c r="R185" s="126"/>
      <c r="S185" s="126"/>
      <c r="T185" s="118"/>
      <c r="U185" s="118"/>
      <c r="V185" s="130">
        <v>0.77</v>
      </c>
      <c r="W185" s="126"/>
      <c r="X185" s="126"/>
      <c r="Y185" s="126"/>
      <c r="Z185" s="126" t="s">
        <v>47</v>
      </c>
      <c r="AA185" s="126">
        <v>3600</v>
      </c>
      <c r="AB185" s="126">
        <v>3600</v>
      </c>
      <c r="AC185" s="126" t="s">
        <v>46</v>
      </c>
      <c r="AD185" s="131">
        <v>45875</v>
      </c>
      <c r="AE185" s="128"/>
      <c r="AF185" s="128" t="s">
        <v>69</v>
      </c>
    </row>
    <row r="186" spans="1:32">
      <c r="A186" s="10" t="s">
        <v>323</v>
      </c>
      <c r="B186" s="10" t="s">
        <v>63</v>
      </c>
      <c r="D186" s="151">
        <v>173</v>
      </c>
      <c r="E186" s="98" t="s">
        <v>321</v>
      </c>
      <c r="F186" s="99" t="s">
        <v>322</v>
      </c>
      <c r="G186" s="132" t="s">
        <v>85</v>
      </c>
      <c r="H186" s="133"/>
      <c r="I186" s="126" t="s">
        <v>65</v>
      </c>
      <c r="J186" s="127" t="s">
        <v>86</v>
      </c>
      <c r="K186" s="126">
        <v>400</v>
      </c>
      <c r="L186" s="126"/>
      <c r="M186" s="118">
        <v>45868</v>
      </c>
      <c r="N186" s="118"/>
      <c r="O186" s="118">
        <v>45868</v>
      </c>
      <c r="P186" s="126"/>
      <c r="Q186" s="118"/>
      <c r="R186" s="126"/>
      <c r="S186" s="126"/>
      <c r="T186" s="118"/>
      <c r="U186" s="118"/>
      <c r="V186" s="130"/>
      <c r="W186" s="126"/>
      <c r="X186" s="126"/>
      <c r="Y186" s="126"/>
      <c r="Z186" s="126"/>
      <c r="AA186" s="126"/>
      <c r="AB186" s="126"/>
      <c r="AC186" s="126"/>
      <c r="AD186" s="131"/>
      <c r="AE186" s="128"/>
      <c r="AF186" s="128"/>
    </row>
    <row r="187" spans="1:32">
      <c r="D187" s="151">
        <v>174</v>
      </c>
      <c r="E187" s="21" t="s">
        <v>324</v>
      </c>
      <c r="F187" s="22" t="s">
        <v>325</v>
      </c>
      <c r="G187" s="21" t="s">
        <v>40</v>
      </c>
      <c r="H187" s="133" t="str">
        <f>CONCATENATE(E187,"_",F187,"_",G187)</f>
        <v>A075_Yuvan Lalchandani_A03</v>
      </c>
      <c r="I187" s="98" t="s">
        <v>35</v>
      </c>
      <c r="J187" s="22" t="s">
        <v>217</v>
      </c>
      <c r="K187" s="21">
        <v>1600</v>
      </c>
      <c r="L187" s="21">
        <v>1600</v>
      </c>
      <c r="M187" s="52">
        <v>45754</v>
      </c>
      <c r="N187" s="23">
        <v>45754</v>
      </c>
      <c r="O187" s="23">
        <v>45748</v>
      </c>
      <c r="P187" s="21" t="s">
        <v>294</v>
      </c>
      <c r="Q187" s="23">
        <v>45802</v>
      </c>
      <c r="R187" s="21"/>
      <c r="S187" s="21"/>
      <c r="T187" s="21"/>
      <c r="U187" s="21"/>
      <c r="V187" s="24">
        <v>1</v>
      </c>
      <c r="W187" s="21" t="s">
        <v>46</v>
      </c>
      <c r="X187" s="21">
        <v>4</v>
      </c>
      <c r="Y187" s="21"/>
      <c r="Z187" s="21" t="s">
        <v>47</v>
      </c>
      <c r="AA187" s="21">
        <v>3600</v>
      </c>
      <c r="AB187" s="21">
        <v>3600</v>
      </c>
      <c r="AC187" s="21" t="s">
        <v>46</v>
      </c>
      <c r="AD187" s="1"/>
      <c r="AE187" s="1"/>
      <c r="AF187" s="1"/>
    </row>
    <row r="188" spans="1:32">
      <c r="D188" s="151">
        <v>175</v>
      </c>
      <c r="E188" s="21" t="s">
        <v>324</v>
      </c>
      <c r="F188" s="22" t="s">
        <v>325</v>
      </c>
      <c r="G188" s="21" t="s">
        <v>83</v>
      </c>
      <c r="H188" s="44" t="str">
        <f>CONCATENATE(E188,"_",F188,"_",G188)</f>
        <v>A075_Yuvan Lalchandani_A04</v>
      </c>
      <c r="I188" s="21" t="s">
        <v>35</v>
      </c>
      <c r="J188" s="22" t="s">
        <v>203</v>
      </c>
      <c r="K188" s="21">
        <v>400</v>
      </c>
      <c r="L188" s="21">
        <v>400</v>
      </c>
      <c r="M188" s="52">
        <v>45802</v>
      </c>
      <c r="N188" s="23">
        <v>45802</v>
      </c>
      <c r="O188" s="23">
        <v>45802</v>
      </c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 t="s">
        <v>47</v>
      </c>
      <c r="AA188" s="21">
        <v>3600</v>
      </c>
      <c r="AB188" s="21">
        <v>3600</v>
      </c>
      <c r="AC188" s="21" t="s">
        <v>68</v>
      </c>
      <c r="AD188" s="1"/>
      <c r="AE188" s="1"/>
      <c r="AF188" s="1"/>
    </row>
    <row r="189" spans="1:32">
      <c r="B189" s="10" t="s">
        <v>63</v>
      </c>
      <c r="D189" s="151"/>
      <c r="E189" s="21" t="s">
        <v>324</v>
      </c>
      <c r="F189" s="22" t="s">
        <v>325</v>
      </c>
      <c r="G189" s="21" t="s">
        <v>85</v>
      </c>
      <c r="H189" s="44" t="str">
        <f>CONCATENATE(E189,"_",F189,"_",G189)</f>
        <v>A075_Yuvan Lalchandani_A05</v>
      </c>
      <c r="I189" s="21" t="s">
        <v>65</v>
      </c>
      <c r="J189" s="22" t="s">
        <v>235</v>
      </c>
      <c r="K189" s="21">
        <v>400</v>
      </c>
      <c r="L189" s="21">
        <v>400</v>
      </c>
      <c r="M189" s="52"/>
      <c r="N189" s="23"/>
      <c r="O189" s="23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 t="s">
        <v>47</v>
      </c>
      <c r="AA189" s="21">
        <v>4800</v>
      </c>
      <c r="AB189" s="21"/>
      <c r="AC189" s="21"/>
      <c r="AD189" s="1"/>
      <c r="AE189" s="1"/>
      <c r="AF189" s="1"/>
    </row>
    <row r="190" spans="1:32">
      <c r="D190" s="151">
        <v>176</v>
      </c>
      <c r="E190" s="21" t="s">
        <v>326</v>
      </c>
      <c r="F190" s="22" t="s">
        <v>327</v>
      </c>
      <c r="G190" s="21" t="s">
        <v>40</v>
      </c>
      <c r="H190" s="44" t="str">
        <f>CONCATENATE(E190,"_",F190,"_",G190)</f>
        <v>A076_Bhavya _A03</v>
      </c>
      <c r="I190" s="21" t="s">
        <v>35</v>
      </c>
      <c r="J190" s="22" t="s">
        <v>217</v>
      </c>
      <c r="K190" s="21">
        <v>600</v>
      </c>
      <c r="L190" s="21">
        <v>600</v>
      </c>
      <c r="M190" s="23">
        <v>45759</v>
      </c>
      <c r="N190" s="23">
        <v>45759</v>
      </c>
      <c r="O190" s="23">
        <v>45752</v>
      </c>
      <c r="P190" s="21" t="s">
        <v>294</v>
      </c>
      <c r="Q190" s="23">
        <v>45907</v>
      </c>
      <c r="R190" s="21"/>
      <c r="S190" s="21"/>
      <c r="T190" s="21"/>
      <c r="U190" s="21"/>
      <c r="V190" s="21"/>
      <c r="W190" s="21"/>
      <c r="X190" s="21"/>
      <c r="Y190" s="21"/>
      <c r="Z190" s="21" t="s">
        <v>47</v>
      </c>
      <c r="AA190" s="21">
        <v>3600</v>
      </c>
      <c r="AB190" s="21">
        <v>3600</v>
      </c>
      <c r="AC190" s="21" t="s">
        <v>46</v>
      </c>
      <c r="AD190" s="2">
        <v>45864</v>
      </c>
      <c r="AE190" s="1"/>
      <c r="AF190" s="1"/>
    </row>
    <row r="191" spans="1:32">
      <c r="B191" s="10" t="s">
        <v>63</v>
      </c>
      <c r="D191" s="151"/>
      <c r="E191" s="21" t="s">
        <v>326</v>
      </c>
      <c r="F191" s="22" t="s">
        <v>327</v>
      </c>
      <c r="G191" s="21" t="s">
        <v>83</v>
      </c>
      <c r="H191" s="44" t="str">
        <f>CONCATENATE(E191,"_",F191,"_",G191)</f>
        <v>A076_Bhavya _A04</v>
      </c>
      <c r="I191" s="21" t="s">
        <v>65</v>
      </c>
      <c r="J191" s="22" t="s">
        <v>203</v>
      </c>
      <c r="K191" s="21">
        <v>400</v>
      </c>
      <c r="L191" s="21">
        <v>400</v>
      </c>
      <c r="M191" s="23">
        <v>45916</v>
      </c>
      <c r="N191" s="23">
        <v>45907</v>
      </c>
      <c r="O191" s="23">
        <v>45907</v>
      </c>
      <c r="P191" s="21" t="s">
        <v>253</v>
      </c>
      <c r="Q191" s="21"/>
      <c r="R191" s="21"/>
      <c r="S191" s="21"/>
      <c r="T191" s="21"/>
      <c r="U191" s="21"/>
      <c r="V191" s="21"/>
      <c r="W191" s="21"/>
      <c r="X191" s="21"/>
      <c r="Y191" s="21"/>
      <c r="Z191" s="21" t="s">
        <v>236</v>
      </c>
      <c r="AA191" s="21">
        <v>3600</v>
      </c>
      <c r="AB191" s="126">
        <v>2800</v>
      </c>
      <c r="AC191" s="126" t="s">
        <v>110</v>
      </c>
      <c r="AD191" s="131">
        <v>45959</v>
      </c>
      <c r="AE191" s="1">
        <v>2</v>
      </c>
      <c r="AF191" s="1" t="s">
        <v>69</v>
      </c>
    </row>
    <row r="192" spans="1:32">
      <c r="A192" s="10" t="s">
        <v>328</v>
      </c>
      <c r="B192" s="10" t="s">
        <v>63</v>
      </c>
      <c r="D192" s="151">
        <v>177</v>
      </c>
      <c r="E192" s="21" t="s">
        <v>329</v>
      </c>
      <c r="F192" s="22" t="s">
        <v>330</v>
      </c>
      <c r="G192" s="21" t="s">
        <v>50</v>
      </c>
      <c r="H192" s="44" t="str">
        <f>CONCATENATE(E192,"_",F192,"_",G192)</f>
        <v>A077_Mayank Agarwal_A08</v>
      </c>
      <c r="I192" s="21" t="s">
        <v>65</v>
      </c>
      <c r="J192" s="97" t="s">
        <v>51</v>
      </c>
      <c r="K192" s="21">
        <v>1600</v>
      </c>
      <c r="L192" s="21">
        <v>1600</v>
      </c>
      <c r="M192" s="23">
        <v>45756</v>
      </c>
      <c r="N192" s="23">
        <v>45760</v>
      </c>
      <c r="O192" s="23">
        <v>45752</v>
      </c>
      <c r="P192" s="21" t="s">
        <v>294</v>
      </c>
      <c r="Q192" s="21"/>
      <c r="R192" s="21"/>
      <c r="S192" s="21"/>
      <c r="T192" s="21"/>
      <c r="U192" s="21"/>
      <c r="V192" s="21"/>
      <c r="W192" s="21"/>
      <c r="X192" s="21"/>
      <c r="Y192" s="21"/>
      <c r="Z192" s="21" t="s">
        <v>47</v>
      </c>
      <c r="AA192" s="21">
        <v>3600</v>
      </c>
      <c r="AB192" s="10">
        <v>3600</v>
      </c>
      <c r="AC192" s="10" t="s">
        <v>68</v>
      </c>
      <c r="AD192" s="134">
        <v>45892</v>
      </c>
      <c r="AE192" s="1"/>
      <c r="AF192" s="1" t="s">
        <v>69</v>
      </c>
    </row>
    <row r="193" spans="1:32">
      <c r="D193" s="151">
        <v>178</v>
      </c>
      <c r="E193" s="21" t="s">
        <v>331</v>
      </c>
      <c r="F193" s="22" t="s">
        <v>332</v>
      </c>
      <c r="G193" s="21" t="s">
        <v>40</v>
      </c>
      <c r="H193" s="44" t="str">
        <f>CONCATENATE(E193,"_",F193,"_",G193)</f>
        <v>A078_Tanish Mulay_A03</v>
      </c>
      <c r="I193" s="98" t="s">
        <v>35</v>
      </c>
      <c r="J193" s="22" t="s">
        <v>217</v>
      </c>
      <c r="K193" s="21">
        <v>1600</v>
      </c>
      <c r="L193" s="21">
        <v>1600</v>
      </c>
      <c r="M193" s="23">
        <v>45751</v>
      </c>
      <c r="N193" s="23">
        <v>45754</v>
      </c>
      <c r="O193" s="23">
        <v>45750</v>
      </c>
      <c r="P193" s="21" t="s">
        <v>294</v>
      </c>
      <c r="Q193" s="23">
        <v>45841</v>
      </c>
      <c r="R193" s="21"/>
      <c r="S193" s="21"/>
      <c r="T193" s="21"/>
      <c r="U193" s="21"/>
      <c r="V193" s="21"/>
      <c r="W193" s="21"/>
      <c r="X193" s="21"/>
      <c r="Y193" s="21"/>
      <c r="Z193" s="21" t="s">
        <v>47</v>
      </c>
      <c r="AA193" s="21">
        <v>3600</v>
      </c>
      <c r="AB193" s="21">
        <v>3250</v>
      </c>
      <c r="AC193" s="21" t="s">
        <v>46</v>
      </c>
      <c r="AD193" s="2">
        <v>45846</v>
      </c>
      <c r="AE193" s="1"/>
      <c r="AF193" s="1"/>
    </row>
    <row r="194" spans="1:32">
      <c r="B194" s="10" t="s">
        <v>107</v>
      </c>
      <c r="D194" s="151">
        <v>179</v>
      </c>
      <c r="E194" s="21" t="s">
        <v>331</v>
      </c>
      <c r="F194" s="22" t="s">
        <v>332</v>
      </c>
      <c r="G194" s="21" t="s">
        <v>83</v>
      </c>
      <c r="H194" s="44" t="str">
        <f>CONCATENATE(E194,"_",F194,"_",G194)</f>
        <v>A078_Tanish Mulay_A04</v>
      </c>
      <c r="I194" s="21" t="s">
        <v>65</v>
      </c>
      <c r="J194" s="22" t="s">
        <v>203</v>
      </c>
      <c r="K194" s="21">
        <v>400</v>
      </c>
      <c r="L194" s="21"/>
      <c r="M194" s="23">
        <v>45841</v>
      </c>
      <c r="N194" s="23">
        <v>45841</v>
      </c>
      <c r="O194" s="23">
        <v>45841</v>
      </c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 t="s">
        <v>47</v>
      </c>
      <c r="AA194" s="21">
        <v>3600</v>
      </c>
      <c r="AC194" s="21" t="s">
        <v>110</v>
      </c>
      <c r="AE194" s="1"/>
      <c r="AF194" s="1"/>
    </row>
    <row r="195" spans="1:32">
      <c r="B195" s="10" t="s">
        <v>107</v>
      </c>
      <c r="D195" s="151">
        <v>180</v>
      </c>
      <c r="E195" s="21" t="s">
        <v>333</v>
      </c>
      <c r="F195" s="22" t="s">
        <v>334</v>
      </c>
      <c r="G195" s="21" t="s">
        <v>40</v>
      </c>
      <c r="H195" s="44" t="str">
        <f>CONCATENATE(E195,"_",F195,"_",G195)</f>
        <v>A079_Tanush Mulay_A03</v>
      </c>
      <c r="I195" s="21" t="s">
        <v>150</v>
      </c>
      <c r="J195" s="22" t="s">
        <v>217</v>
      </c>
      <c r="K195" s="21">
        <v>1600</v>
      </c>
      <c r="L195" s="21">
        <v>1600</v>
      </c>
      <c r="M195" s="23">
        <v>45751</v>
      </c>
      <c r="N195" s="23">
        <v>45754</v>
      </c>
      <c r="O195" s="23">
        <v>45750</v>
      </c>
      <c r="P195" s="21" t="s">
        <v>294</v>
      </c>
      <c r="Q195" s="21"/>
      <c r="R195" s="21"/>
      <c r="S195" s="21"/>
      <c r="T195" s="21"/>
      <c r="U195" s="21"/>
      <c r="V195" s="21"/>
      <c r="W195" s="21"/>
      <c r="X195" s="21"/>
      <c r="Y195" s="21"/>
      <c r="Z195" s="21" t="s">
        <v>47</v>
      </c>
      <c r="AA195" s="21">
        <v>3600</v>
      </c>
      <c r="AB195" s="21">
        <v>3250</v>
      </c>
      <c r="AC195" s="21" t="s">
        <v>46</v>
      </c>
      <c r="AD195" s="2">
        <v>45846</v>
      </c>
      <c r="AE195" s="1"/>
      <c r="AF195" s="1"/>
    </row>
    <row r="196" spans="1:32">
      <c r="D196" s="151"/>
      <c r="E196" s="21" t="s">
        <v>333</v>
      </c>
      <c r="F196" s="22" t="s">
        <v>334</v>
      </c>
      <c r="G196" s="21" t="s">
        <v>83</v>
      </c>
      <c r="H196" s="44"/>
      <c r="I196" s="21" t="s">
        <v>65</v>
      </c>
      <c r="J196" s="22" t="s">
        <v>335</v>
      </c>
      <c r="K196" s="21">
        <v>400</v>
      </c>
      <c r="L196" s="21">
        <v>400</v>
      </c>
      <c r="M196" s="23">
        <v>45959</v>
      </c>
      <c r="N196" s="23">
        <v>45959</v>
      </c>
      <c r="O196" s="23">
        <v>45954</v>
      </c>
      <c r="P196" s="21" t="s">
        <v>336</v>
      </c>
      <c r="Q196" s="21"/>
      <c r="R196" s="21"/>
      <c r="S196" s="21"/>
      <c r="T196" s="21"/>
      <c r="U196" s="21"/>
      <c r="V196" s="21"/>
      <c r="W196" s="21"/>
      <c r="X196" s="21"/>
      <c r="Y196" s="21"/>
      <c r="Z196" s="21" t="s">
        <v>47</v>
      </c>
      <c r="AA196" s="21">
        <v>4500</v>
      </c>
      <c r="AB196" s="21">
        <v>4500</v>
      </c>
      <c r="AC196" s="21" t="s">
        <v>68</v>
      </c>
      <c r="AD196" s="2">
        <v>45959</v>
      </c>
      <c r="AE196" s="1"/>
      <c r="AF196" s="1" t="s">
        <v>169</v>
      </c>
    </row>
    <row r="197" spans="1:32">
      <c r="A197" s="10" t="s">
        <v>337</v>
      </c>
      <c r="B197" s="10" t="s">
        <v>107</v>
      </c>
      <c r="D197" s="151">
        <v>181</v>
      </c>
      <c r="E197" s="21" t="s">
        <v>338</v>
      </c>
      <c r="F197" s="22" t="s">
        <v>339</v>
      </c>
      <c r="G197" s="21" t="s">
        <v>40</v>
      </c>
      <c r="H197" s="44" t="str">
        <f>CONCATENATE(E197,"_",F197,"_",G197)</f>
        <v>A080_Aarav Gadsingh_A03</v>
      </c>
      <c r="I197" s="21" t="s">
        <v>65</v>
      </c>
      <c r="J197" s="22" t="s">
        <v>217</v>
      </c>
      <c r="K197" s="21">
        <v>1600</v>
      </c>
      <c r="L197" s="21">
        <v>1600</v>
      </c>
      <c r="M197" s="23">
        <v>45751</v>
      </c>
      <c r="N197" s="23">
        <v>45754</v>
      </c>
      <c r="O197" s="23">
        <v>45750</v>
      </c>
      <c r="P197" s="21" t="s">
        <v>294</v>
      </c>
      <c r="Q197" s="21"/>
      <c r="R197" s="21"/>
      <c r="S197" s="21"/>
      <c r="T197" s="21"/>
      <c r="U197" s="21"/>
      <c r="V197" s="21"/>
      <c r="W197" s="21"/>
      <c r="X197" s="21"/>
      <c r="Y197" s="21"/>
      <c r="Z197" s="21" t="s">
        <v>236</v>
      </c>
      <c r="AA197" s="21">
        <v>3600</v>
      </c>
      <c r="AB197" s="21">
        <v>3600</v>
      </c>
      <c r="AC197" s="21" t="s">
        <v>46</v>
      </c>
      <c r="AD197" s="2">
        <v>45958</v>
      </c>
      <c r="AE197" s="1"/>
      <c r="AF197" s="1" t="s">
        <v>69</v>
      </c>
    </row>
    <row r="198" spans="1:32">
      <c r="D198" s="151">
        <v>182</v>
      </c>
      <c r="E198" s="21" t="s">
        <v>340</v>
      </c>
      <c r="F198" s="22" t="s">
        <v>341</v>
      </c>
      <c r="G198" s="21" t="s">
        <v>40</v>
      </c>
      <c r="H198" s="21"/>
      <c r="I198" s="21" t="s">
        <v>35</v>
      </c>
      <c r="J198" s="22" t="s">
        <v>217</v>
      </c>
      <c r="K198" s="21">
        <v>1600</v>
      </c>
      <c r="L198" s="21">
        <v>1600</v>
      </c>
      <c r="M198" s="23">
        <v>45759</v>
      </c>
      <c r="N198" s="23">
        <v>45759</v>
      </c>
      <c r="O198" s="23">
        <v>45755</v>
      </c>
      <c r="P198" s="21" t="s">
        <v>294</v>
      </c>
      <c r="Q198" s="23">
        <v>45816</v>
      </c>
      <c r="R198" s="21"/>
      <c r="S198" s="21"/>
      <c r="T198" s="21"/>
      <c r="U198" s="21"/>
      <c r="V198" s="24">
        <v>0.96</v>
      </c>
      <c r="W198" s="21" t="s">
        <v>46</v>
      </c>
      <c r="X198" s="21">
        <v>4</v>
      </c>
      <c r="Y198" s="21" t="s">
        <v>46</v>
      </c>
      <c r="Z198" s="21" t="s">
        <v>47</v>
      </c>
      <c r="AA198" s="21">
        <v>3600</v>
      </c>
      <c r="AB198" s="21">
        <v>3600</v>
      </c>
      <c r="AC198" s="21" t="s">
        <v>46</v>
      </c>
      <c r="AD198" s="2">
        <v>45787</v>
      </c>
      <c r="AE198" s="1">
        <v>1</v>
      </c>
      <c r="AF198" s="1" t="s">
        <v>69</v>
      </c>
    </row>
    <row r="199" spans="1:32">
      <c r="B199" s="10" t="s">
        <v>63</v>
      </c>
      <c r="D199" s="151">
        <v>183</v>
      </c>
      <c r="E199" s="21" t="s">
        <v>340</v>
      </c>
      <c r="F199" s="22" t="s">
        <v>341</v>
      </c>
      <c r="G199" s="21" t="s">
        <v>83</v>
      </c>
      <c r="H199" s="21"/>
      <c r="I199" s="21" t="s">
        <v>35</v>
      </c>
      <c r="J199" s="22" t="s">
        <v>84</v>
      </c>
      <c r="K199" s="21">
        <v>400</v>
      </c>
      <c r="L199" s="21">
        <v>400</v>
      </c>
      <c r="M199" s="23">
        <v>45816</v>
      </c>
      <c r="N199" s="23">
        <v>45816</v>
      </c>
      <c r="O199" s="23">
        <v>45816</v>
      </c>
      <c r="P199" s="21" t="s">
        <v>342</v>
      </c>
      <c r="Q199" s="23">
        <v>45927</v>
      </c>
      <c r="R199" s="23">
        <v>45927</v>
      </c>
      <c r="S199" s="21"/>
      <c r="T199" s="21"/>
      <c r="U199" s="21"/>
      <c r="V199" s="24">
        <v>1</v>
      </c>
      <c r="W199" s="21" t="s">
        <v>46</v>
      </c>
      <c r="X199" s="21">
        <v>5</v>
      </c>
      <c r="Y199" s="21" t="s">
        <v>46</v>
      </c>
      <c r="Z199" s="21" t="s">
        <v>47</v>
      </c>
      <c r="AA199" s="21">
        <v>3600</v>
      </c>
      <c r="AB199" s="21">
        <v>3600</v>
      </c>
      <c r="AC199" s="21" t="s">
        <v>68</v>
      </c>
      <c r="AD199" s="2">
        <v>45927</v>
      </c>
      <c r="AE199" s="1"/>
      <c r="AF199" s="1"/>
    </row>
    <row r="200" spans="1:32">
      <c r="D200" s="151"/>
      <c r="E200" s="21" t="s">
        <v>340</v>
      </c>
      <c r="F200" s="22" t="s">
        <v>341</v>
      </c>
      <c r="G200" s="21" t="s">
        <v>83</v>
      </c>
      <c r="H200" s="21"/>
      <c r="I200" s="21" t="s">
        <v>65</v>
      </c>
      <c r="J200" s="22" t="s">
        <v>86</v>
      </c>
      <c r="K200" s="21">
        <v>400</v>
      </c>
      <c r="L200" s="21">
        <v>400</v>
      </c>
      <c r="M200" s="23">
        <v>45927</v>
      </c>
      <c r="N200" s="23">
        <v>45962</v>
      </c>
      <c r="O200" s="23">
        <v>45962</v>
      </c>
      <c r="P200" s="21" t="s">
        <v>342</v>
      </c>
      <c r="Q200" s="23"/>
      <c r="R200" s="23"/>
      <c r="S200" s="21"/>
      <c r="T200" s="21"/>
      <c r="U200" s="21"/>
      <c r="V200" s="24"/>
      <c r="W200" s="21"/>
      <c r="X200" s="21"/>
      <c r="Y200" s="21"/>
      <c r="Z200" s="21"/>
      <c r="AA200" s="21"/>
      <c r="AB200" s="21"/>
      <c r="AC200" s="21"/>
      <c r="AD200" s="2"/>
      <c r="AE200" s="1"/>
      <c r="AF200" s="1"/>
    </row>
    <row r="201" spans="1:32">
      <c r="D201" s="151">
        <v>184</v>
      </c>
      <c r="E201" s="21" t="s">
        <v>343</v>
      </c>
      <c r="F201" s="22" t="s">
        <v>344</v>
      </c>
      <c r="G201" s="21" t="s">
        <v>40</v>
      </c>
      <c r="H201" s="21"/>
      <c r="I201" s="21" t="s">
        <v>35</v>
      </c>
      <c r="J201" s="22" t="s">
        <v>217</v>
      </c>
      <c r="K201" s="21">
        <v>600</v>
      </c>
      <c r="L201" s="21">
        <v>600</v>
      </c>
      <c r="M201" s="23">
        <v>45766</v>
      </c>
      <c r="N201" s="23">
        <v>45767</v>
      </c>
      <c r="O201" s="23">
        <v>45754</v>
      </c>
      <c r="P201" s="21" t="s">
        <v>294</v>
      </c>
      <c r="Q201" s="23">
        <v>45824</v>
      </c>
      <c r="R201" s="21"/>
      <c r="S201" s="21"/>
      <c r="T201" s="21"/>
      <c r="U201" s="21"/>
      <c r="V201" s="24">
        <v>0.93</v>
      </c>
      <c r="W201" s="21"/>
      <c r="X201" s="21"/>
      <c r="Y201" s="21"/>
      <c r="Z201" s="21" t="s">
        <v>47</v>
      </c>
      <c r="AA201" s="21">
        <v>3600</v>
      </c>
      <c r="AB201" s="21">
        <v>3600</v>
      </c>
      <c r="AC201" s="21" t="s">
        <v>110</v>
      </c>
      <c r="AD201" s="1"/>
      <c r="AE201" s="1"/>
      <c r="AF201" s="1"/>
    </row>
    <row r="202" spans="1:32">
      <c r="B202" s="10" t="s">
        <v>107</v>
      </c>
      <c r="D202" s="151">
        <v>185</v>
      </c>
      <c r="E202" s="21" t="s">
        <v>343</v>
      </c>
      <c r="F202" s="22" t="s">
        <v>344</v>
      </c>
      <c r="G202" s="21" t="s">
        <v>83</v>
      </c>
      <c r="H202" s="21"/>
      <c r="I202" s="21" t="s">
        <v>65</v>
      </c>
      <c r="J202" s="22" t="s">
        <v>203</v>
      </c>
      <c r="K202" s="21">
        <v>400</v>
      </c>
      <c r="L202" s="21">
        <v>400</v>
      </c>
      <c r="M202" s="23">
        <v>45832</v>
      </c>
      <c r="N202" s="23">
        <v>45832</v>
      </c>
      <c r="O202" s="23">
        <v>45832</v>
      </c>
      <c r="P202" s="21" t="s">
        <v>67</v>
      </c>
      <c r="Q202" s="21"/>
      <c r="R202" s="21"/>
      <c r="S202" s="21"/>
      <c r="T202" s="21"/>
      <c r="U202" s="21"/>
      <c r="V202" s="21"/>
      <c r="W202" s="21"/>
      <c r="X202" s="21"/>
      <c r="Y202" s="21"/>
      <c r="Z202" s="21" t="s">
        <v>47</v>
      </c>
      <c r="AA202" s="21">
        <v>3600</v>
      </c>
      <c r="AB202" s="21">
        <v>3600</v>
      </c>
      <c r="AC202" s="21"/>
      <c r="AD202" s="1"/>
      <c r="AE202" s="1"/>
      <c r="AF202" s="1"/>
    </row>
    <row r="203" spans="1:32">
      <c r="B203" s="10" t="s">
        <v>107</v>
      </c>
      <c r="D203" s="151">
        <v>186</v>
      </c>
      <c r="E203" s="21" t="s">
        <v>345</v>
      </c>
      <c r="F203" s="22" t="s">
        <v>346</v>
      </c>
      <c r="G203" s="21" t="s">
        <v>93</v>
      </c>
      <c r="H203" s="21"/>
      <c r="I203" s="21" t="s">
        <v>65</v>
      </c>
      <c r="J203" s="22" t="s">
        <v>216</v>
      </c>
      <c r="K203" s="21">
        <v>1600</v>
      </c>
      <c r="L203" s="21">
        <v>1600</v>
      </c>
      <c r="M203" s="23">
        <v>45762</v>
      </c>
      <c r="N203" s="23">
        <v>45765</v>
      </c>
      <c r="O203" s="23">
        <v>45761</v>
      </c>
      <c r="P203" s="21" t="s">
        <v>294</v>
      </c>
      <c r="Q203" s="21"/>
      <c r="R203" s="21"/>
      <c r="S203" s="21"/>
      <c r="T203" s="21"/>
      <c r="U203" s="21"/>
      <c r="V203" s="21"/>
      <c r="W203" s="21"/>
      <c r="X203" s="21"/>
      <c r="Y203" s="21"/>
      <c r="Z203" s="21" t="s">
        <v>47</v>
      </c>
      <c r="AA203" s="21">
        <v>3600</v>
      </c>
      <c r="AB203" s="21">
        <v>3600</v>
      </c>
      <c r="AC203" s="21" t="s">
        <v>61</v>
      </c>
      <c r="AD203" s="2">
        <v>45775</v>
      </c>
      <c r="AE203" s="1"/>
      <c r="AF203" s="1" t="s">
        <v>69</v>
      </c>
    </row>
    <row r="204" spans="1:32">
      <c r="D204" s="151">
        <v>187</v>
      </c>
      <c r="E204" s="21" t="s">
        <v>347</v>
      </c>
      <c r="F204" s="22" t="s">
        <v>348</v>
      </c>
      <c r="G204" s="21" t="s">
        <v>93</v>
      </c>
      <c r="H204" s="21"/>
      <c r="I204" s="21" t="s">
        <v>35</v>
      </c>
      <c r="J204" s="22" t="s">
        <v>216</v>
      </c>
      <c r="K204" s="21">
        <v>600</v>
      </c>
      <c r="L204" s="21">
        <v>600</v>
      </c>
      <c r="M204" s="23">
        <v>45766</v>
      </c>
      <c r="N204" s="23">
        <v>45770</v>
      </c>
      <c r="O204" s="23">
        <v>45765</v>
      </c>
      <c r="P204" s="21" t="s">
        <v>294</v>
      </c>
      <c r="Q204" s="23">
        <v>45839</v>
      </c>
      <c r="R204" s="21"/>
      <c r="S204" s="21"/>
      <c r="T204" s="21"/>
      <c r="U204" s="23">
        <v>45839</v>
      </c>
      <c r="V204" s="24">
        <v>1</v>
      </c>
      <c r="W204" s="21"/>
      <c r="X204" s="21"/>
      <c r="Y204" s="21"/>
      <c r="Z204" s="21" t="s">
        <v>349</v>
      </c>
      <c r="AA204" s="21">
        <v>3600</v>
      </c>
      <c r="AB204" s="21">
        <v>3600</v>
      </c>
      <c r="AC204" s="21" t="s">
        <v>46</v>
      </c>
      <c r="AD204" s="2">
        <v>45840</v>
      </c>
      <c r="AE204" s="1"/>
      <c r="AF204" s="1"/>
    </row>
    <row r="205" spans="1:32">
      <c r="B205" s="10" t="s">
        <v>63</v>
      </c>
      <c r="D205" s="151">
        <v>188</v>
      </c>
      <c r="E205" s="21" t="s">
        <v>347</v>
      </c>
      <c r="F205" s="22" t="s">
        <v>348</v>
      </c>
      <c r="G205" s="21" t="s">
        <v>40</v>
      </c>
      <c r="H205" s="21"/>
      <c r="I205" s="21" t="s">
        <v>65</v>
      </c>
      <c r="J205" s="22" t="s">
        <v>217</v>
      </c>
      <c r="K205" s="21">
        <v>400</v>
      </c>
      <c r="L205" s="21">
        <v>400</v>
      </c>
      <c r="M205" s="23">
        <v>45840</v>
      </c>
      <c r="N205" s="23">
        <v>45840</v>
      </c>
      <c r="O205" s="23">
        <v>45840</v>
      </c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 t="s">
        <v>47</v>
      </c>
      <c r="AA205" s="21"/>
      <c r="AB205" s="21"/>
      <c r="AC205" s="21"/>
      <c r="AD205" s="1"/>
      <c r="AE205" s="1"/>
      <c r="AF205" s="1"/>
    </row>
    <row r="206" spans="1:32">
      <c r="B206" s="10" t="s">
        <v>63</v>
      </c>
      <c r="D206" s="151">
        <v>189</v>
      </c>
      <c r="E206" s="21" t="s">
        <v>350</v>
      </c>
      <c r="F206" s="22" t="s">
        <v>351</v>
      </c>
      <c r="G206" s="21" t="s">
        <v>50</v>
      </c>
      <c r="H206" s="21"/>
      <c r="I206" s="21" t="s">
        <v>65</v>
      </c>
      <c r="J206" s="22" t="s">
        <v>51</v>
      </c>
      <c r="K206" s="21">
        <v>600</v>
      </c>
      <c r="L206" s="21">
        <v>600</v>
      </c>
      <c r="M206" s="23">
        <v>45766</v>
      </c>
      <c r="N206" s="23">
        <v>45770</v>
      </c>
      <c r="O206" s="23">
        <v>45765</v>
      </c>
      <c r="P206" s="21" t="s">
        <v>294</v>
      </c>
      <c r="Q206" s="21"/>
      <c r="R206" s="21"/>
      <c r="S206" s="21"/>
      <c r="T206" s="21"/>
      <c r="U206" s="21"/>
      <c r="V206" s="21"/>
      <c r="W206" s="21"/>
      <c r="X206" s="21"/>
      <c r="Y206" s="21"/>
      <c r="Z206" s="21" t="s">
        <v>349</v>
      </c>
      <c r="AA206" s="21">
        <v>3600</v>
      </c>
      <c r="AB206" s="21"/>
      <c r="AC206" s="21" t="s">
        <v>110</v>
      </c>
      <c r="AD206" s="1"/>
      <c r="AE206" s="1"/>
      <c r="AF206" s="1"/>
    </row>
    <row r="207" spans="1:32">
      <c r="D207" s="151">
        <v>190</v>
      </c>
      <c r="E207" s="21" t="s">
        <v>352</v>
      </c>
      <c r="F207" s="22" t="s">
        <v>353</v>
      </c>
      <c r="G207" s="21" t="s">
        <v>40</v>
      </c>
      <c r="H207" s="21"/>
      <c r="I207" s="21" t="s">
        <v>227</v>
      </c>
      <c r="J207" s="22" t="s">
        <v>217</v>
      </c>
      <c r="K207" s="21">
        <v>1600</v>
      </c>
      <c r="L207" s="21">
        <v>1600</v>
      </c>
      <c r="M207" s="23">
        <v>45767</v>
      </c>
      <c r="N207" s="23">
        <v>45771</v>
      </c>
      <c r="O207" s="23">
        <v>45769</v>
      </c>
      <c r="P207" s="21" t="s">
        <v>77</v>
      </c>
      <c r="Q207" s="21"/>
      <c r="R207" s="21"/>
      <c r="S207" s="21"/>
      <c r="T207" s="21"/>
      <c r="U207" s="21"/>
      <c r="V207" s="21"/>
      <c r="W207" s="21"/>
      <c r="X207" s="21"/>
      <c r="Y207" s="21"/>
      <c r="Z207" s="21" t="s">
        <v>354</v>
      </c>
      <c r="AA207" s="21">
        <v>3600</v>
      </c>
      <c r="AB207" s="21">
        <v>3600</v>
      </c>
      <c r="AC207" s="21" t="s">
        <v>46</v>
      </c>
      <c r="AD207" s="1"/>
      <c r="AE207" s="1"/>
      <c r="AF207" s="1"/>
    </row>
    <row r="208" spans="1:32">
      <c r="D208" s="151">
        <v>191</v>
      </c>
      <c r="E208" s="21" t="s">
        <v>355</v>
      </c>
      <c r="F208" s="22" t="s">
        <v>356</v>
      </c>
      <c r="G208" s="21" t="s">
        <v>40</v>
      </c>
      <c r="H208" s="21"/>
      <c r="I208" s="21" t="s">
        <v>35</v>
      </c>
      <c r="J208" s="22" t="s">
        <v>217</v>
      </c>
      <c r="K208" s="21">
        <v>1600</v>
      </c>
      <c r="L208" s="21">
        <v>1600</v>
      </c>
      <c r="M208" s="118">
        <v>45703</v>
      </c>
      <c r="N208" s="23">
        <v>45708</v>
      </c>
      <c r="O208" s="23">
        <v>45705</v>
      </c>
      <c r="P208" s="21" t="s">
        <v>266</v>
      </c>
      <c r="Q208" s="23">
        <v>45838</v>
      </c>
      <c r="R208" s="21">
        <v>4</v>
      </c>
      <c r="S208" s="21"/>
      <c r="T208" s="23">
        <v>45838</v>
      </c>
      <c r="U208" s="23">
        <v>45838</v>
      </c>
      <c r="V208" s="24">
        <v>1</v>
      </c>
      <c r="W208" s="21" t="s">
        <v>46</v>
      </c>
      <c r="X208" s="21">
        <v>3</v>
      </c>
      <c r="Y208" s="21" t="s">
        <v>46</v>
      </c>
      <c r="Z208" s="21" t="s">
        <v>152</v>
      </c>
      <c r="AA208" s="21">
        <v>3600</v>
      </c>
      <c r="AB208" s="21">
        <v>4800</v>
      </c>
      <c r="AC208" s="21" t="s">
        <v>46</v>
      </c>
      <c r="AD208" s="113">
        <v>45838</v>
      </c>
      <c r="AE208" s="1"/>
      <c r="AF208" s="1" t="s">
        <v>69</v>
      </c>
    </row>
    <row r="209" spans="2:33">
      <c r="B209" s="10" t="s">
        <v>107</v>
      </c>
      <c r="D209" s="151">
        <v>192</v>
      </c>
      <c r="E209" s="21" t="s">
        <v>357</v>
      </c>
      <c r="F209" s="22" t="s">
        <v>356</v>
      </c>
      <c r="G209" s="21" t="s">
        <v>83</v>
      </c>
      <c r="H209" s="21"/>
      <c r="I209" s="21" t="s">
        <v>65</v>
      </c>
      <c r="J209" s="22" t="s">
        <v>203</v>
      </c>
      <c r="K209" s="21">
        <v>400</v>
      </c>
      <c r="L209" s="122">
        <v>400</v>
      </c>
      <c r="M209" s="23">
        <v>45893</v>
      </c>
      <c r="N209" s="123">
        <v>45838</v>
      </c>
      <c r="O209" s="23">
        <v>45838</v>
      </c>
      <c r="P209" s="21" t="s">
        <v>266</v>
      </c>
      <c r="Q209" s="21"/>
      <c r="R209" s="21"/>
      <c r="S209" s="21"/>
      <c r="T209" s="21"/>
      <c r="U209" s="21"/>
      <c r="V209" s="21"/>
      <c r="W209" s="21"/>
      <c r="X209" s="21"/>
      <c r="Y209" s="21"/>
      <c r="Z209" s="21" t="s">
        <v>106</v>
      </c>
      <c r="AA209" s="21">
        <v>3600</v>
      </c>
      <c r="AB209" s="21">
        <v>6000</v>
      </c>
      <c r="AC209" s="21" t="s">
        <v>68</v>
      </c>
      <c r="AD209" s="113">
        <v>45959</v>
      </c>
      <c r="AE209" s="1">
        <v>5</v>
      </c>
      <c r="AF209" s="1" t="s">
        <v>69</v>
      </c>
      <c r="AG209" t="s">
        <v>358</v>
      </c>
    </row>
    <row r="210" spans="2:33">
      <c r="D210" s="151">
        <v>193</v>
      </c>
      <c r="E210" s="21" t="s">
        <v>357</v>
      </c>
      <c r="F210" s="119" t="s">
        <v>359</v>
      </c>
      <c r="G210" s="21" t="s">
        <v>50</v>
      </c>
      <c r="H210" s="21"/>
      <c r="I210" s="21" t="s">
        <v>35</v>
      </c>
      <c r="J210" s="22" t="s">
        <v>51</v>
      </c>
      <c r="K210" s="21">
        <v>1600</v>
      </c>
      <c r="L210" s="21">
        <v>1600</v>
      </c>
      <c r="M210" s="124">
        <v>45773</v>
      </c>
      <c r="N210" s="23">
        <v>45774</v>
      </c>
      <c r="O210" s="23">
        <v>45772</v>
      </c>
      <c r="P210" s="21" t="s">
        <v>292</v>
      </c>
      <c r="Q210" s="23">
        <v>45833</v>
      </c>
      <c r="R210" s="21"/>
      <c r="S210" s="21"/>
      <c r="T210" s="21"/>
      <c r="U210" s="21"/>
      <c r="V210" s="24">
        <v>0.96</v>
      </c>
      <c r="W210" s="21" t="s">
        <v>46</v>
      </c>
      <c r="X210" s="21">
        <v>4</v>
      </c>
      <c r="Y210" s="21" t="s">
        <v>46</v>
      </c>
      <c r="Z210" s="21" t="s">
        <v>47</v>
      </c>
      <c r="AA210" s="21">
        <v>3600</v>
      </c>
      <c r="AB210" s="21">
        <f>1800+1800</f>
        <v>3600</v>
      </c>
      <c r="AC210" s="21" t="s">
        <v>46</v>
      </c>
      <c r="AD210" s="2" t="s">
        <v>360</v>
      </c>
      <c r="AE210" s="1"/>
      <c r="AF210" s="1" t="s">
        <v>361</v>
      </c>
    </row>
    <row r="211" spans="2:33">
      <c r="D211" s="151">
        <v>194</v>
      </c>
      <c r="E211" s="21" t="s">
        <v>357</v>
      </c>
      <c r="F211" s="119" t="s">
        <v>359</v>
      </c>
      <c r="G211" s="21" t="s">
        <v>53</v>
      </c>
      <c r="H211" s="21"/>
      <c r="I211" s="21" t="s">
        <v>35</v>
      </c>
      <c r="J211" s="22" t="s">
        <v>54</v>
      </c>
      <c r="K211" s="21">
        <v>400</v>
      </c>
      <c r="L211" s="21">
        <v>400</v>
      </c>
      <c r="M211" s="23">
        <v>45833</v>
      </c>
      <c r="N211" s="23">
        <v>45833</v>
      </c>
      <c r="O211" s="23">
        <v>45833</v>
      </c>
      <c r="P211" s="21" t="s">
        <v>145</v>
      </c>
      <c r="Q211" s="23">
        <v>45859</v>
      </c>
      <c r="R211" s="21"/>
      <c r="S211" s="21"/>
      <c r="T211" s="21"/>
      <c r="U211" s="21"/>
      <c r="V211" s="24">
        <v>0.94</v>
      </c>
      <c r="W211" s="21" t="s">
        <v>362</v>
      </c>
      <c r="X211" s="21"/>
      <c r="Y211" s="21"/>
      <c r="Z211" s="21" t="s">
        <v>47</v>
      </c>
      <c r="AA211" s="21">
        <v>3600</v>
      </c>
      <c r="AB211" s="21">
        <v>3600</v>
      </c>
      <c r="AC211" s="21" t="s">
        <v>46</v>
      </c>
      <c r="AD211" s="2">
        <v>45867</v>
      </c>
      <c r="AE211" s="1">
        <v>1</v>
      </c>
      <c r="AF211" s="1" t="s">
        <v>111</v>
      </c>
    </row>
    <row r="212" spans="2:33">
      <c r="B212" s="10" t="s">
        <v>63</v>
      </c>
      <c r="D212" s="151">
        <v>195</v>
      </c>
      <c r="E212" s="21" t="s">
        <v>357</v>
      </c>
      <c r="F212" s="119" t="s">
        <v>359</v>
      </c>
      <c r="G212" s="21" t="s">
        <v>55</v>
      </c>
      <c r="H212" s="21"/>
      <c r="I212" s="21" t="s">
        <v>65</v>
      </c>
      <c r="J212" s="22" t="s">
        <v>56</v>
      </c>
      <c r="K212" s="21">
        <v>400</v>
      </c>
      <c r="L212" s="21">
        <v>400</v>
      </c>
      <c r="M212" s="23">
        <v>45861</v>
      </c>
      <c r="N212" s="118">
        <v>45861</v>
      </c>
      <c r="O212" s="23"/>
      <c r="P212" s="21" t="s">
        <v>145</v>
      </c>
      <c r="Q212" s="23"/>
      <c r="R212" s="21"/>
      <c r="S212" s="21"/>
      <c r="T212" s="21"/>
      <c r="U212" s="21"/>
      <c r="V212" s="24"/>
      <c r="W212" s="21"/>
      <c r="X212" s="21"/>
      <c r="Y212" s="21"/>
      <c r="Z212" s="21" t="s">
        <v>47</v>
      </c>
      <c r="AA212" s="21">
        <v>3600</v>
      </c>
      <c r="AB212" s="21"/>
      <c r="AC212" s="21"/>
      <c r="AD212" s="2"/>
      <c r="AE212" s="1"/>
      <c r="AF212" s="1"/>
    </row>
    <row r="213" spans="2:33">
      <c r="D213" s="151">
        <v>196</v>
      </c>
      <c r="E213" s="21" t="s">
        <v>363</v>
      </c>
      <c r="F213" s="22" t="s">
        <v>364</v>
      </c>
      <c r="G213" s="21" t="s">
        <v>50</v>
      </c>
      <c r="H213" s="21"/>
      <c r="I213" s="21" t="s">
        <v>35</v>
      </c>
      <c r="J213" s="22" t="s">
        <v>51</v>
      </c>
      <c r="K213" s="21">
        <v>1600</v>
      </c>
      <c r="L213" s="21">
        <v>1600</v>
      </c>
      <c r="M213" s="23">
        <v>45785</v>
      </c>
      <c r="N213" s="118">
        <v>45784</v>
      </c>
      <c r="O213" s="23">
        <v>45782</v>
      </c>
      <c r="P213" s="21" t="s">
        <v>292</v>
      </c>
      <c r="Q213" s="23">
        <v>45893</v>
      </c>
      <c r="R213" s="21"/>
      <c r="S213" s="21"/>
      <c r="T213" s="23">
        <v>45893</v>
      </c>
      <c r="U213" s="23">
        <v>45893</v>
      </c>
      <c r="V213" s="21">
        <v>94</v>
      </c>
      <c r="W213" s="21" t="s">
        <v>244</v>
      </c>
      <c r="X213" s="21">
        <v>4</v>
      </c>
      <c r="Y213" s="21"/>
      <c r="Z213" s="21" t="s">
        <v>365</v>
      </c>
      <c r="AA213" s="21">
        <v>3600</v>
      </c>
      <c r="AB213" s="21">
        <v>3600</v>
      </c>
      <c r="AC213" s="21" t="s">
        <v>46</v>
      </c>
      <c r="AD213" s="2">
        <v>45809</v>
      </c>
      <c r="AE213" s="1"/>
      <c r="AF213" s="1" t="s">
        <v>366</v>
      </c>
    </row>
    <row r="214" spans="2:33">
      <c r="B214" s="10" t="s">
        <v>63</v>
      </c>
      <c r="D214" s="151"/>
      <c r="E214" s="21" t="s">
        <v>363</v>
      </c>
      <c r="F214" s="22" t="s">
        <v>364</v>
      </c>
      <c r="G214" s="21" t="s">
        <v>53</v>
      </c>
      <c r="H214" s="21"/>
      <c r="I214" s="21" t="s">
        <v>65</v>
      </c>
      <c r="J214" s="22" t="s">
        <v>54</v>
      </c>
      <c r="K214" s="21">
        <v>400</v>
      </c>
      <c r="L214" s="21"/>
      <c r="M214" s="23"/>
      <c r="N214" s="118">
        <v>45893</v>
      </c>
      <c r="O214" s="23">
        <v>45895</v>
      </c>
      <c r="P214" s="21" t="s">
        <v>367</v>
      </c>
      <c r="Q214" s="21"/>
      <c r="R214" s="21"/>
      <c r="S214" s="21"/>
      <c r="T214" s="21"/>
      <c r="U214" s="21"/>
      <c r="V214" s="21"/>
      <c r="W214" s="21"/>
      <c r="X214" s="21"/>
      <c r="Y214" s="21"/>
      <c r="Z214" s="21" t="s">
        <v>47</v>
      </c>
      <c r="AA214" s="21">
        <v>3600</v>
      </c>
      <c r="AB214" s="21"/>
      <c r="AC214" s="21"/>
      <c r="AD214" s="2"/>
      <c r="AE214" s="1"/>
      <c r="AF214" s="1"/>
    </row>
    <row r="215" spans="2:33">
      <c r="D215" s="151">
        <v>197</v>
      </c>
      <c r="E215" s="21" t="s">
        <v>368</v>
      </c>
      <c r="F215" s="22" t="s">
        <v>369</v>
      </c>
      <c r="G215" s="21" t="s">
        <v>93</v>
      </c>
      <c r="H215" s="21"/>
      <c r="I215" s="21" t="s">
        <v>35</v>
      </c>
      <c r="J215" s="22" t="s">
        <v>94</v>
      </c>
      <c r="K215" s="21">
        <v>1600</v>
      </c>
      <c r="L215" s="21">
        <v>1600</v>
      </c>
      <c r="M215" s="23">
        <v>45800</v>
      </c>
      <c r="N215" s="23">
        <v>45810</v>
      </c>
      <c r="O215" s="23">
        <v>45810</v>
      </c>
      <c r="P215" s="21" t="s">
        <v>266</v>
      </c>
      <c r="Q215" s="21"/>
      <c r="R215" s="21"/>
      <c r="S215" s="21"/>
      <c r="T215" s="21"/>
      <c r="U215" s="21"/>
      <c r="V215" s="21"/>
      <c r="W215" s="21"/>
      <c r="X215" s="21"/>
      <c r="Y215" s="21"/>
      <c r="Z215" s="21" t="s">
        <v>152</v>
      </c>
      <c r="AA215" s="21">
        <v>3600</v>
      </c>
      <c r="AB215" s="21">
        <v>3600</v>
      </c>
      <c r="AC215" s="21" t="s">
        <v>46</v>
      </c>
      <c r="AD215" s="2">
        <v>45819</v>
      </c>
      <c r="AE215" s="1">
        <v>2</v>
      </c>
      <c r="AF215" s="1" t="s">
        <v>111</v>
      </c>
    </row>
    <row r="216" spans="2:33">
      <c r="B216" s="10" t="s">
        <v>63</v>
      </c>
      <c r="D216" s="151">
        <v>198</v>
      </c>
      <c r="E216" s="21" t="s">
        <v>368</v>
      </c>
      <c r="F216" s="22" t="s">
        <v>369</v>
      </c>
      <c r="G216" s="21" t="s">
        <v>40</v>
      </c>
      <c r="H216" s="21"/>
      <c r="I216" s="21" t="s">
        <v>65</v>
      </c>
      <c r="J216" s="22" t="s">
        <v>217</v>
      </c>
      <c r="K216" s="21">
        <v>400</v>
      </c>
      <c r="L216" s="21">
        <v>400</v>
      </c>
      <c r="M216" s="23">
        <v>45875</v>
      </c>
      <c r="N216" s="23">
        <v>45875</v>
      </c>
      <c r="O216" s="23">
        <v>45875</v>
      </c>
      <c r="P216" s="21" t="s">
        <v>266</v>
      </c>
      <c r="Q216" s="21"/>
      <c r="R216" s="21"/>
      <c r="S216" s="21"/>
      <c r="T216" s="21"/>
      <c r="U216" s="21"/>
      <c r="V216" s="21"/>
      <c r="W216" s="21"/>
      <c r="X216" s="21"/>
      <c r="Y216" s="21"/>
      <c r="Z216" s="21" t="s">
        <v>152</v>
      </c>
      <c r="AA216" s="21">
        <v>4800</v>
      </c>
      <c r="AB216" s="21">
        <v>1600</v>
      </c>
      <c r="AC216" s="21" t="s">
        <v>110</v>
      </c>
      <c r="AD216" s="2">
        <v>45945</v>
      </c>
      <c r="AE216" s="1">
        <v>4</v>
      </c>
      <c r="AF216" s="1" t="s">
        <v>370</v>
      </c>
      <c r="AG216" t="s">
        <v>155</v>
      </c>
    </row>
    <row r="217" spans="2:33">
      <c r="B217" s="10" t="s">
        <v>63</v>
      </c>
      <c r="D217" s="151">
        <v>199</v>
      </c>
      <c r="E217" s="21" t="s">
        <v>371</v>
      </c>
      <c r="F217" s="22" t="s">
        <v>372</v>
      </c>
      <c r="G217" s="21" t="s">
        <v>93</v>
      </c>
      <c r="H217" s="21"/>
      <c r="I217" s="21" t="s">
        <v>35</v>
      </c>
      <c r="J217" s="22" t="s">
        <v>217</v>
      </c>
      <c r="K217" s="21">
        <v>1600</v>
      </c>
      <c r="L217" s="21">
        <v>1600</v>
      </c>
      <c r="M217" s="23">
        <v>45817</v>
      </c>
      <c r="N217" s="23">
        <v>45822</v>
      </c>
      <c r="O217" s="23">
        <v>45822</v>
      </c>
      <c r="P217" s="21" t="s">
        <v>342</v>
      </c>
      <c r="Q217" s="21"/>
      <c r="R217" s="21"/>
      <c r="S217" s="21"/>
      <c r="T217" s="21"/>
      <c r="U217" s="21"/>
      <c r="V217" s="21"/>
      <c r="W217" s="21"/>
      <c r="X217" s="21"/>
      <c r="Y217" s="21"/>
      <c r="Z217" s="21" t="s">
        <v>106</v>
      </c>
      <c r="AA217" s="21">
        <v>3600</v>
      </c>
      <c r="AB217" s="21">
        <v>3600</v>
      </c>
      <c r="AC217" s="21" t="s">
        <v>110</v>
      </c>
      <c r="AD217" s="2">
        <v>45915</v>
      </c>
      <c r="AE217" s="1">
        <v>3</v>
      </c>
      <c r="AF217" s="1" t="s">
        <v>69</v>
      </c>
    </row>
    <row r="218" spans="2:33">
      <c r="D218" s="151"/>
      <c r="E218" s="21" t="s">
        <v>371</v>
      </c>
      <c r="F218" s="22" t="s">
        <v>372</v>
      </c>
      <c r="G218" s="21" t="s">
        <v>93</v>
      </c>
      <c r="H218" s="21"/>
      <c r="I218" s="21" t="s">
        <v>65</v>
      </c>
      <c r="J218" s="22" t="s">
        <v>203</v>
      </c>
      <c r="K218" s="21">
        <v>400</v>
      </c>
      <c r="L218" s="21">
        <v>400</v>
      </c>
      <c r="M218" s="117">
        <v>45915</v>
      </c>
      <c r="N218" s="23"/>
      <c r="O218" s="23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"/>
      <c r="AE218" s="1"/>
      <c r="AF218" s="1"/>
    </row>
    <row r="219" spans="2:33">
      <c r="B219" s="10" t="s">
        <v>63</v>
      </c>
      <c r="D219" s="151">
        <v>200</v>
      </c>
      <c r="E219" s="21" t="s">
        <v>373</v>
      </c>
      <c r="F219" s="22" t="s">
        <v>374</v>
      </c>
      <c r="G219" s="21" t="s">
        <v>83</v>
      </c>
      <c r="H219" s="21"/>
      <c r="I219" s="21" t="s">
        <v>65</v>
      </c>
      <c r="J219" s="22" t="s">
        <v>51</v>
      </c>
      <c r="K219" s="21">
        <v>600</v>
      </c>
      <c r="L219" s="21">
        <v>600</v>
      </c>
      <c r="M219" s="117">
        <v>45820</v>
      </c>
      <c r="N219" s="23">
        <v>45818</v>
      </c>
      <c r="O219" s="23">
        <v>45818</v>
      </c>
      <c r="P219" s="21" t="s">
        <v>77</v>
      </c>
      <c r="Q219" s="21"/>
      <c r="R219" s="21"/>
      <c r="S219" s="21"/>
      <c r="T219" s="21"/>
      <c r="U219" s="21"/>
      <c r="V219" s="21"/>
      <c r="W219" s="21"/>
      <c r="X219" s="21"/>
      <c r="Y219" s="21"/>
      <c r="Z219" s="21" t="s">
        <v>152</v>
      </c>
      <c r="AA219" s="21">
        <v>3600</v>
      </c>
      <c r="AB219" s="21">
        <v>3600</v>
      </c>
      <c r="AC219" s="21" t="s">
        <v>110</v>
      </c>
      <c r="AD219" s="2">
        <v>45916</v>
      </c>
      <c r="AE219" s="1">
        <v>3</v>
      </c>
      <c r="AF219" s="1" t="s">
        <v>69</v>
      </c>
    </row>
    <row r="220" spans="2:33">
      <c r="B220" s="10" t="s">
        <v>63</v>
      </c>
      <c r="D220" s="151">
        <v>201</v>
      </c>
      <c r="E220" s="21" t="s">
        <v>375</v>
      </c>
      <c r="F220" s="22" t="s">
        <v>376</v>
      </c>
      <c r="G220" s="21" t="s">
        <v>93</v>
      </c>
      <c r="H220" s="21"/>
      <c r="I220" s="21" t="s">
        <v>35</v>
      </c>
      <c r="J220" s="22" t="s">
        <v>216</v>
      </c>
      <c r="K220" s="21">
        <v>600</v>
      </c>
      <c r="L220" s="21">
        <v>600</v>
      </c>
      <c r="M220" s="118">
        <v>45820</v>
      </c>
      <c r="N220" s="23">
        <v>45818</v>
      </c>
      <c r="O220" s="23">
        <v>45818</v>
      </c>
      <c r="P220" s="21" t="s">
        <v>77</v>
      </c>
      <c r="Q220" s="21"/>
      <c r="R220" s="21"/>
      <c r="S220" s="21"/>
      <c r="T220" s="21"/>
      <c r="U220" s="21"/>
      <c r="V220" s="21"/>
      <c r="W220" s="21"/>
      <c r="X220" s="21"/>
      <c r="Y220" s="21"/>
      <c r="Z220" s="21" t="s">
        <v>152</v>
      </c>
      <c r="AA220" s="21">
        <v>3600</v>
      </c>
      <c r="AB220" s="21">
        <v>3600</v>
      </c>
      <c r="AC220" s="21" t="s">
        <v>110</v>
      </c>
      <c r="AD220" s="2">
        <v>45916</v>
      </c>
      <c r="AE220" s="1">
        <v>3</v>
      </c>
      <c r="AF220" s="1" t="s">
        <v>111</v>
      </c>
    </row>
    <row r="221" spans="2:33">
      <c r="D221" s="151"/>
      <c r="E221" s="21" t="s">
        <v>377</v>
      </c>
      <c r="F221" s="22" t="s">
        <v>376</v>
      </c>
      <c r="G221" s="21" t="s">
        <v>40</v>
      </c>
      <c r="H221" s="21"/>
      <c r="I221" s="21" t="s">
        <v>65</v>
      </c>
      <c r="J221" s="22" t="s">
        <v>41</v>
      </c>
      <c r="K221" s="21">
        <v>400</v>
      </c>
      <c r="L221" s="21"/>
      <c r="M221" s="118"/>
      <c r="N221" s="23"/>
      <c r="O221" s="23">
        <v>45957</v>
      </c>
      <c r="P221" s="21" t="s">
        <v>67</v>
      </c>
      <c r="Q221" s="21"/>
      <c r="R221" s="21"/>
      <c r="S221" s="21"/>
      <c r="T221" s="21"/>
      <c r="U221" s="21"/>
      <c r="V221" s="21"/>
      <c r="W221" s="21"/>
      <c r="X221" s="21"/>
      <c r="Y221" s="21"/>
      <c r="Z221" s="21" t="s">
        <v>106</v>
      </c>
      <c r="AA221" s="21">
        <v>4800</v>
      </c>
      <c r="AB221" s="21"/>
      <c r="AC221" s="21" t="s">
        <v>110</v>
      </c>
      <c r="AD221" s="131"/>
      <c r="AE221" s="1"/>
      <c r="AF221" s="1"/>
    </row>
    <row r="222" spans="2:33">
      <c r="B222" s="10" t="s">
        <v>107</v>
      </c>
      <c r="D222" s="151">
        <v>202</v>
      </c>
      <c r="E222" s="21" t="s">
        <v>377</v>
      </c>
      <c r="F222" s="22" t="s">
        <v>378</v>
      </c>
      <c r="G222" s="21" t="s">
        <v>40</v>
      </c>
      <c r="H222" s="21"/>
      <c r="I222" s="21" t="s">
        <v>65</v>
      </c>
      <c r="J222" s="22" t="s">
        <v>41</v>
      </c>
      <c r="K222" s="21">
        <v>1600</v>
      </c>
      <c r="L222" s="21">
        <v>1600</v>
      </c>
      <c r="M222" s="23">
        <v>45837</v>
      </c>
      <c r="N222" s="21" t="s">
        <v>379</v>
      </c>
      <c r="O222" s="23">
        <v>45838</v>
      </c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 t="s">
        <v>47</v>
      </c>
      <c r="AA222" s="21">
        <v>3600</v>
      </c>
      <c r="AB222" s="21">
        <v>3600</v>
      </c>
      <c r="AC222" s="21" t="s">
        <v>46</v>
      </c>
      <c r="AD222" s="120">
        <v>45837</v>
      </c>
      <c r="AE222" s="1"/>
      <c r="AF222" s="1" t="s">
        <v>69</v>
      </c>
    </row>
    <row r="223" spans="2:33">
      <c r="B223" s="10" t="s">
        <v>107</v>
      </c>
      <c r="D223" s="151">
        <v>203</v>
      </c>
      <c r="E223" s="21" t="s">
        <v>380</v>
      </c>
      <c r="F223" s="22" t="s">
        <v>381</v>
      </c>
      <c r="G223" s="21" t="s">
        <v>40</v>
      </c>
      <c r="H223" s="21"/>
      <c r="I223" s="21" t="s">
        <v>65</v>
      </c>
      <c r="J223" s="22" t="s">
        <v>217</v>
      </c>
      <c r="K223" s="21">
        <v>1600</v>
      </c>
      <c r="L223" s="21">
        <v>1600</v>
      </c>
      <c r="M223" s="23">
        <v>45839</v>
      </c>
      <c r="N223" s="23">
        <v>45839</v>
      </c>
      <c r="O223" s="23">
        <v>45839</v>
      </c>
      <c r="P223" s="21" t="s">
        <v>77</v>
      </c>
      <c r="Q223" s="21"/>
      <c r="R223" s="21"/>
      <c r="S223" s="21"/>
      <c r="T223" s="21"/>
      <c r="U223" s="21"/>
      <c r="V223" s="21"/>
      <c r="W223" s="21"/>
      <c r="X223" s="21"/>
      <c r="Y223" s="21"/>
      <c r="Z223" s="21" t="s">
        <v>106</v>
      </c>
      <c r="AA223" s="21">
        <v>3600</v>
      </c>
      <c r="AB223" s="21">
        <v>5200</v>
      </c>
      <c r="AC223" s="21" t="s">
        <v>110</v>
      </c>
      <c r="AD223" s="2">
        <v>45939</v>
      </c>
      <c r="AE223" s="1">
        <v>4</v>
      </c>
      <c r="AF223" s="1" t="s">
        <v>69</v>
      </c>
    </row>
    <row r="224" spans="2:33">
      <c r="D224" s="151">
        <v>204</v>
      </c>
      <c r="E224" s="21" t="s">
        <v>382</v>
      </c>
      <c r="F224" s="22" t="s">
        <v>383</v>
      </c>
      <c r="G224" s="21" t="s">
        <v>40</v>
      </c>
      <c r="H224" s="21"/>
      <c r="I224" s="21" t="s">
        <v>227</v>
      </c>
      <c r="J224" s="22" t="s">
        <v>217</v>
      </c>
      <c r="K224" s="21">
        <v>1600</v>
      </c>
      <c r="L224" s="21">
        <v>1600</v>
      </c>
      <c r="M224" s="23">
        <v>45839</v>
      </c>
      <c r="N224" s="23">
        <v>45839</v>
      </c>
      <c r="O224" s="23">
        <v>45839</v>
      </c>
      <c r="P224" s="21" t="s">
        <v>77</v>
      </c>
      <c r="Q224" s="21"/>
      <c r="R224" s="21"/>
      <c r="S224" s="21"/>
      <c r="T224" s="21"/>
      <c r="U224" s="21"/>
      <c r="V224" s="21"/>
      <c r="W224" s="21"/>
      <c r="X224" s="21"/>
      <c r="Y224" s="21"/>
      <c r="Z224" s="21" t="s">
        <v>106</v>
      </c>
      <c r="AA224" s="21">
        <v>3600</v>
      </c>
      <c r="AB224" s="21">
        <v>3600</v>
      </c>
      <c r="AC224" s="21" t="s">
        <v>110</v>
      </c>
      <c r="AD224" s="2">
        <v>45868</v>
      </c>
      <c r="AE224" s="1">
        <v>2</v>
      </c>
      <c r="AF224" s="1" t="s">
        <v>69</v>
      </c>
    </row>
    <row r="225" spans="2:33">
      <c r="B225" s="10" t="s">
        <v>107</v>
      </c>
      <c r="D225" s="151">
        <v>205</v>
      </c>
      <c r="E225" s="21" t="s">
        <v>384</v>
      </c>
      <c r="F225" s="22" t="s">
        <v>385</v>
      </c>
      <c r="G225" s="21" t="s">
        <v>34</v>
      </c>
      <c r="H225" s="21"/>
      <c r="I225" s="21" t="s">
        <v>35</v>
      </c>
      <c r="J225" s="22" t="s">
        <v>36</v>
      </c>
      <c r="K225" s="21">
        <v>1600</v>
      </c>
      <c r="L225" s="21">
        <v>1600</v>
      </c>
      <c r="M225" s="51">
        <v>45832</v>
      </c>
      <c r="N225" s="121">
        <v>45825</v>
      </c>
      <c r="O225" s="23">
        <v>45825</v>
      </c>
      <c r="P225" s="21" t="s">
        <v>145</v>
      </c>
      <c r="Q225" s="23">
        <v>45900</v>
      </c>
      <c r="R225" s="21">
        <v>3</v>
      </c>
      <c r="S225" s="21"/>
      <c r="T225" s="21"/>
      <c r="U225" s="23">
        <v>45900</v>
      </c>
      <c r="V225" s="24">
        <v>1</v>
      </c>
      <c r="W225" s="21" t="s">
        <v>244</v>
      </c>
      <c r="X225" s="21">
        <v>5</v>
      </c>
      <c r="Y225" s="21" t="s">
        <v>46</v>
      </c>
      <c r="Z225" s="21" t="s">
        <v>106</v>
      </c>
      <c r="AA225" s="21">
        <v>3600</v>
      </c>
      <c r="AB225" s="21">
        <v>2400</v>
      </c>
      <c r="AC225" s="21" t="s">
        <v>110</v>
      </c>
      <c r="AD225" s="2">
        <v>45875</v>
      </c>
      <c r="AE225" s="1">
        <v>2</v>
      </c>
      <c r="AF225" s="1" t="s">
        <v>386</v>
      </c>
    </row>
    <row r="226" spans="2:33">
      <c r="D226" s="151"/>
      <c r="E226" s="21" t="s">
        <v>384</v>
      </c>
      <c r="F226" s="22" t="s">
        <v>385</v>
      </c>
      <c r="G226" s="21" t="s">
        <v>93</v>
      </c>
      <c r="H226" s="21"/>
      <c r="I226" s="21" t="s">
        <v>35</v>
      </c>
      <c r="J226" s="22" t="s">
        <v>387</v>
      </c>
      <c r="K226" s="21">
        <v>400</v>
      </c>
      <c r="L226" s="21">
        <v>400</v>
      </c>
      <c r="M226" s="51">
        <v>45949</v>
      </c>
      <c r="N226" s="121">
        <v>45900</v>
      </c>
      <c r="O226" s="23">
        <v>45900</v>
      </c>
      <c r="P226" s="21" t="s">
        <v>388</v>
      </c>
      <c r="Q226" s="21"/>
      <c r="R226" s="21"/>
      <c r="S226" s="21"/>
      <c r="T226" s="21"/>
      <c r="U226" s="23">
        <v>45979</v>
      </c>
      <c r="V226" s="24">
        <v>0.97</v>
      </c>
      <c r="W226" s="21" t="s">
        <v>158</v>
      </c>
      <c r="X226" s="21"/>
      <c r="Y226" s="21"/>
      <c r="Z226" s="21" t="s">
        <v>152</v>
      </c>
      <c r="AA226" s="21">
        <v>4800</v>
      </c>
      <c r="AB226" s="21">
        <v>1200</v>
      </c>
      <c r="AC226" s="21" t="s">
        <v>110</v>
      </c>
      <c r="AD226" s="2">
        <v>45949</v>
      </c>
      <c r="AE226" s="1">
        <v>1</v>
      </c>
      <c r="AF226" s="1" t="s">
        <v>69</v>
      </c>
    </row>
    <row r="227" spans="2:33">
      <c r="B227" s="10" t="s">
        <v>63</v>
      </c>
      <c r="D227" s="151">
        <v>206</v>
      </c>
      <c r="E227" s="21" t="s">
        <v>389</v>
      </c>
      <c r="F227" s="22" t="s">
        <v>390</v>
      </c>
      <c r="G227" s="21" t="s">
        <v>34</v>
      </c>
      <c r="H227" s="21"/>
      <c r="I227" s="21" t="s">
        <v>35</v>
      </c>
      <c r="J227" s="22" t="s">
        <v>36</v>
      </c>
      <c r="K227" s="21">
        <v>1600</v>
      </c>
      <c r="L227" s="21">
        <v>1600</v>
      </c>
      <c r="M227" s="23">
        <v>45823</v>
      </c>
      <c r="N227" s="23">
        <v>45823</v>
      </c>
      <c r="O227" s="23">
        <v>45823</v>
      </c>
      <c r="P227" s="21" t="s">
        <v>151</v>
      </c>
      <c r="Q227" s="23">
        <v>45955</v>
      </c>
      <c r="R227" s="21">
        <v>4</v>
      </c>
      <c r="S227" s="21"/>
      <c r="T227" s="23">
        <v>45833</v>
      </c>
      <c r="U227" s="23">
        <v>45833</v>
      </c>
      <c r="V227" s="24">
        <v>1</v>
      </c>
      <c r="W227" s="21" t="s">
        <v>244</v>
      </c>
      <c r="X227" s="21">
        <v>5</v>
      </c>
      <c r="Y227" s="21" t="s">
        <v>46</v>
      </c>
      <c r="Z227" s="21" t="s">
        <v>47</v>
      </c>
      <c r="AA227" s="21">
        <v>3600</v>
      </c>
      <c r="AB227" s="21">
        <v>3600</v>
      </c>
      <c r="AC227" s="21" t="s">
        <v>46</v>
      </c>
      <c r="AD227" s="2">
        <v>45957</v>
      </c>
      <c r="AE227" s="1"/>
      <c r="AF227" s="1" t="s">
        <v>69</v>
      </c>
    </row>
    <row r="228" spans="2:33">
      <c r="B228" s="10" t="s">
        <v>63</v>
      </c>
      <c r="D228" s="151">
        <v>207</v>
      </c>
      <c r="E228" s="68" t="s">
        <v>391</v>
      </c>
      <c r="F228" s="69" t="s">
        <v>392</v>
      </c>
      <c r="G228" s="68" t="s">
        <v>34</v>
      </c>
      <c r="H228" s="68"/>
      <c r="I228" s="68" t="s">
        <v>35</v>
      </c>
      <c r="J228" s="69" t="s">
        <v>36</v>
      </c>
      <c r="K228" s="68">
        <v>1600</v>
      </c>
      <c r="L228" s="68">
        <v>1600</v>
      </c>
      <c r="M228" s="71">
        <v>45823</v>
      </c>
      <c r="N228" s="71">
        <v>45823</v>
      </c>
      <c r="O228" s="71">
        <v>45823</v>
      </c>
      <c r="P228" s="68" t="s">
        <v>151</v>
      </c>
      <c r="Q228" s="71">
        <v>45955</v>
      </c>
      <c r="R228" s="68">
        <v>4</v>
      </c>
      <c r="S228" s="68"/>
      <c r="T228" s="71">
        <v>45833</v>
      </c>
      <c r="U228" s="71">
        <v>45833</v>
      </c>
      <c r="V228" s="115">
        <v>1</v>
      </c>
      <c r="W228" s="68" t="s">
        <v>244</v>
      </c>
      <c r="X228" s="68">
        <v>5</v>
      </c>
      <c r="Y228" s="68" t="s">
        <v>46</v>
      </c>
      <c r="Z228" s="68" t="s">
        <v>47</v>
      </c>
      <c r="AA228" s="68">
        <v>3600</v>
      </c>
      <c r="AB228" s="68">
        <v>3600</v>
      </c>
      <c r="AC228" s="68" t="s">
        <v>68</v>
      </c>
      <c r="AD228" s="76">
        <v>45957</v>
      </c>
      <c r="AE228" s="72"/>
      <c r="AF228" s="72" t="s">
        <v>69</v>
      </c>
    </row>
    <row r="229" spans="2:33">
      <c r="B229" s="10" t="s">
        <v>107</v>
      </c>
      <c r="D229" s="151">
        <v>208</v>
      </c>
      <c r="E229" s="21" t="s">
        <v>393</v>
      </c>
      <c r="F229" s="22" t="s">
        <v>394</v>
      </c>
      <c r="G229" s="21" t="s">
        <v>40</v>
      </c>
      <c r="H229" s="21"/>
      <c r="I229" s="21" t="s">
        <v>65</v>
      </c>
      <c r="J229" s="22" t="s">
        <v>217</v>
      </c>
      <c r="K229" s="21">
        <v>1600</v>
      </c>
      <c r="L229" s="21">
        <v>1600</v>
      </c>
      <c r="M229" s="23">
        <v>45818</v>
      </c>
      <c r="N229" s="23">
        <v>45811</v>
      </c>
      <c r="O229" s="23">
        <v>45811</v>
      </c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 t="s">
        <v>106</v>
      </c>
      <c r="AA229" s="21">
        <v>3600</v>
      </c>
      <c r="AB229" s="21">
        <v>4800</v>
      </c>
      <c r="AC229" s="21" t="s">
        <v>46</v>
      </c>
      <c r="AD229" s="2">
        <v>45904</v>
      </c>
      <c r="AE229" s="1">
        <v>4</v>
      </c>
      <c r="AF229" s="1" t="s">
        <v>69</v>
      </c>
    </row>
    <row r="230" spans="2:33">
      <c r="D230" s="151">
        <v>209</v>
      </c>
      <c r="E230" s="21" t="s">
        <v>395</v>
      </c>
      <c r="F230" s="22" t="s">
        <v>396</v>
      </c>
      <c r="G230" s="21" t="s">
        <v>50</v>
      </c>
      <c r="H230" s="21"/>
      <c r="I230" s="21" t="s">
        <v>227</v>
      </c>
      <c r="J230" s="22" t="s">
        <v>397</v>
      </c>
      <c r="K230" s="21">
        <v>1600</v>
      </c>
      <c r="L230" s="21">
        <v>1600</v>
      </c>
      <c r="M230" s="23">
        <v>45845</v>
      </c>
      <c r="N230" s="23">
        <v>45845</v>
      </c>
      <c r="O230" s="23">
        <v>45838</v>
      </c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 t="s">
        <v>106</v>
      </c>
      <c r="AA230" s="21">
        <v>3600</v>
      </c>
      <c r="AB230" s="21">
        <v>1200</v>
      </c>
      <c r="AC230" s="21" t="s">
        <v>107</v>
      </c>
      <c r="AD230" s="2">
        <v>45845</v>
      </c>
      <c r="AE230" s="1"/>
      <c r="AF230" s="1" t="s">
        <v>155</v>
      </c>
    </row>
    <row r="231" spans="2:33">
      <c r="D231" s="151">
        <v>210</v>
      </c>
      <c r="E231" s="21" t="s">
        <v>398</v>
      </c>
      <c r="F231" s="22" t="s">
        <v>399</v>
      </c>
      <c r="G231" s="21" t="s">
        <v>40</v>
      </c>
      <c r="H231" s="21"/>
      <c r="I231" s="21" t="s">
        <v>227</v>
      </c>
      <c r="J231" s="129" t="s">
        <v>217</v>
      </c>
      <c r="K231" s="21">
        <v>1600</v>
      </c>
      <c r="L231" s="21">
        <v>1600</v>
      </c>
      <c r="M231" s="23">
        <v>45845</v>
      </c>
      <c r="N231" s="23">
        <v>45845</v>
      </c>
      <c r="O231" s="23">
        <v>45838</v>
      </c>
      <c r="P231" s="21" t="s">
        <v>400</v>
      </c>
      <c r="Q231" s="21"/>
      <c r="R231" s="21"/>
      <c r="S231" s="21"/>
      <c r="T231" s="21"/>
      <c r="U231" s="21"/>
      <c r="V231" s="21"/>
      <c r="W231" s="21"/>
      <c r="X231" s="21"/>
      <c r="Y231" s="21"/>
      <c r="Z231" s="21" t="s">
        <v>106</v>
      </c>
      <c r="AA231" s="21">
        <v>3600</v>
      </c>
      <c r="AB231" s="21">
        <v>1200</v>
      </c>
      <c r="AC231" s="21" t="s">
        <v>107</v>
      </c>
      <c r="AD231" s="2">
        <v>45845</v>
      </c>
      <c r="AE231" s="1"/>
      <c r="AF231" s="1" t="s">
        <v>155</v>
      </c>
    </row>
    <row r="232" spans="2:33">
      <c r="B232" s="10" t="s">
        <v>107</v>
      </c>
      <c r="D232" s="151">
        <v>211</v>
      </c>
      <c r="E232" s="21" t="s">
        <v>401</v>
      </c>
      <c r="F232" s="22" t="s">
        <v>402</v>
      </c>
      <c r="G232" s="21" t="s">
        <v>40</v>
      </c>
      <c r="H232" s="21"/>
      <c r="I232" s="21" t="s">
        <v>65</v>
      </c>
      <c r="J232" s="22" t="s">
        <v>217</v>
      </c>
      <c r="K232" s="21">
        <v>1600</v>
      </c>
      <c r="L232" s="21">
        <v>1600</v>
      </c>
      <c r="M232" s="23">
        <v>45823</v>
      </c>
      <c r="N232" s="23">
        <v>45843</v>
      </c>
      <c r="O232" s="23">
        <v>45843</v>
      </c>
      <c r="P232" s="21" t="s">
        <v>77</v>
      </c>
      <c r="Q232" s="23">
        <v>45962</v>
      </c>
      <c r="R232" s="21">
        <v>4</v>
      </c>
      <c r="S232" s="21"/>
      <c r="T232" s="21"/>
      <c r="U232" s="23">
        <v>45962</v>
      </c>
      <c r="V232" s="24">
        <v>0.93</v>
      </c>
      <c r="W232" s="21" t="s">
        <v>244</v>
      </c>
      <c r="X232" s="21">
        <v>5</v>
      </c>
      <c r="Y232" s="21" t="s">
        <v>110</v>
      </c>
      <c r="Z232" s="21" t="s">
        <v>236</v>
      </c>
      <c r="AA232" s="21">
        <v>3600</v>
      </c>
      <c r="AB232" s="21">
        <v>3600</v>
      </c>
      <c r="AC232" s="21" t="s">
        <v>46</v>
      </c>
      <c r="AD232" s="2">
        <v>45941</v>
      </c>
      <c r="AE232" s="1"/>
      <c r="AF232" s="1"/>
    </row>
    <row r="233" spans="2:33">
      <c r="B233" s="10" t="s">
        <v>63</v>
      </c>
      <c r="D233" s="151">
        <v>212</v>
      </c>
      <c r="E233" s="21" t="s">
        <v>403</v>
      </c>
      <c r="F233" s="22" t="s">
        <v>404</v>
      </c>
      <c r="G233" s="21" t="s">
        <v>93</v>
      </c>
      <c r="H233" s="21"/>
      <c r="I233" s="21" t="s">
        <v>65</v>
      </c>
      <c r="J233" s="22" t="s">
        <v>94</v>
      </c>
      <c r="K233" s="21">
        <v>1600</v>
      </c>
      <c r="L233" s="21">
        <v>1600</v>
      </c>
      <c r="M233" s="23">
        <v>45840</v>
      </c>
      <c r="N233" s="23">
        <v>45845</v>
      </c>
      <c r="O233" s="23">
        <v>45840</v>
      </c>
      <c r="P233" s="21" t="s">
        <v>266</v>
      </c>
      <c r="Q233" s="21"/>
      <c r="R233" s="21"/>
      <c r="S233" s="21"/>
      <c r="T233" s="21"/>
      <c r="U233" s="21"/>
      <c r="V233" s="21"/>
      <c r="W233" s="21"/>
      <c r="X233" s="21"/>
      <c r="Y233" s="21"/>
      <c r="Z233" s="21" t="s">
        <v>152</v>
      </c>
      <c r="AA233" s="21">
        <v>3600</v>
      </c>
      <c r="AB233" s="21">
        <v>4000</v>
      </c>
      <c r="AC233" s="21" t="s">
        <v>110</v>
      </c>
      <c r="AD233" s="2">
        <v>45945</v>
      </c>
      <c r="AE233" s="1"/>
      <c r="AF233" s="1" t="s">
        <v>405</v>
      </c>
      <c r="AG233" t="s">
        <v>155</v>
      </c>
    </row>
    <row r="234" spans="2:33">
      <c r="B234" s="10" t="s">
        <v>63</v>
      </c>
      <c r="D234" s="151">
        <v>213</v>
      </c>
      <c r="E234" s="21" t="s">
        <v>406</v>
      </c>
      <c r="F234" s="22" t="s">
        <v>407</v>
      </c>
      <c r="G234" s="21" t="s">
        <v>40</v>
      </c>
      <c r="H234" s="21"/>
      <c r="I234" s="21" t="s">
        <v>65</v>
      </c>
      <c r="J234" s="22" t="s">
        <v>217</v>
      </c>
      <c r="K234" s="21">
        <v>1600</v>
      </c>
      <c r="L234" s="21">
        <v>1600</v>
      </c>
      <c r="M234" s="23">
        <v>45845</v>
      </c>
      <c r="N234" s="23">
        <v>45845</v>
      </c>
      <c r="O234" s="23">
        <v>45838</v>
      </c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 t="s">
        <v>236</v>
      </c>
      <c r="AA234" s="21">
        <v>3600</v>
      </c>
      <c r="AB234" s="21">
        <v>2000</v>
      </c>
      <c r="AC234" s="21" t="s">
        <v>107</v>
      </c>
      <c r="AD234" s="2">
        <v>45845</v>
      </c>
      <c r="AE234" s="1"/>
      <c r="AF234" s="1" t="s">
        <v>366</v>
      </c>
    </row>
    <row r="235" spans="2:33">
      <c r="B235" s="10" t="s">
        <v>107</v>
      </c>
      <c r="D235" s="151">
        <v>214</v>
      </c>
      <c r="E235" s="21" t="s">
        <v>408</v>
      </c>
      <c r="F235" s="22" t="s">
        <v>409</v>
      </c>
      <c r="G235" s="21" t="s">
        <v>40</v>
      </c>
      <c r="H235" s="21"/>
      <c r="I235" s="21" t="s">
        <v>65</v>
      </c>
      <c r="J235" s="22" t="s">
        <v>217</v>
      </c>
      <c r="K235" s="21">
        <v>1600</v>
      </c>
      <c r="L235" s="21">
        <v>1600</v>
      </c>
      <c r="M235" s="23">
        <v>45845</v>
      </c>
      <c r="N235" s="23">
        <v>45850</v>
      </c>
      <c r="O235" s="23">
        <v>45843</v>
      </c>
      <c r="P235" s="21" t="s">
        <v>253</v>
      </c>
      <c r="Q235" s="21"/>
      <c r="R235" s="21"/>
      <c r="S235" s="21"/>
      <c r="T235" s="21"/>
      <c r="U235" s="21"/>
      <c r="V235" s="21"/>
      <c r="W235" s="21"/>
      <c r="X235" s="21"/>
      <c r="Y235" s="21"/>
      <c r="Z235" s="21" t="s">
        <v>106</v>
      </c>
      <c r="AA235" s="21">
        <v>3600</v>
      </c>
      <c r="AB235" s="21">
        <v>1200</v>
      </c>
      <c r="AC235" s="21" t="s">
        <v>110</v>
      </c>
      <c r="AD235" s="2">
        <v>45865</v>
      </c>
      <c r="AE235" s="1"/>
      <c r="AF235" s="1" t="s">
        <v>69</v>
      </c>
    </row>
    <row r="236" spans="2:33">
      <c r="B236" s="10" t="s">
        <v>63</v>
      </c>
      <c r="D236" s="151">
        <v>215</v>
      </c>
      <c r="E236" s="21" t="s">
        <v>410</v>
      </c>
      <c r="F236" s="22" t="s">
        <v>411</v>
      </c>
      <c r="G236" s="21" t="s">
        <v>93</v>
      </c>
      <c r="H236" s="21"/>
      <c r="I236" s="21" t="s">
        <v>65</v>
      </c>
      <c r="J236" s="22" t="s">
        <v>216</v>
      </c>
      <c r="K236" s="21">
        <v>1600</v>
      </c>
      <c r="L236" s="21">
        <v>1600</v>
      </c>
      <c r="M236" s="23">
        <v>45851</v>
      </c>
      <c r="N236" s="23">
        <v>45851</v>
      </c>
      <c r="O236" s="23">
        <v>45844</v>
      </c>
      <c r="P236" s="21" t="s">
        <v>253</v>
      </c>
      <c r="Q236" s="21"/>
      <c r="R236" s="21"/>
      <c r="S236" s="21"/>
      <c r="T236" s="21"/>
      <c r="U236" s="21"/>
      <c r="V236" s="21"/>
      <c r="W236" s="21"/>
      <c r="X236" s="21"/>
      <c r="Y236" s="21"/>
      <c r="Z236" s="21" t="s">
        <v>152</v>
      </c>
      <c r="AA236" s="21">
        <v>3600</v>
      </c>
      <c r="AB236" s="21">
        <v>4800</v>
      </c>
      <c r="AC236" s="21" t="s">
        <v>110</v>
      </c>
      <c r="AD236" s="113">
        <v>45935</v>
      </c>
      <c r="AE236" s="1">
        <v>4</v>
      </c>
      <c r="AF236" s="1" t="s">
        <v>69</v>
      </c>
    </row>
    <row r="237" spans="2:33">
      <c r="B237" s="10" t="s">
        <v>107</v>
      </c>
      <c r="D237" s="151">
        <v>216</v>
      </c>
      <c r="E237" s="21" t="s">
        <v>412</v>
      </c>
      <c r="F237" s="22" t="s">
        <v>413</v>
      </c>
      <c r="G237" s="21" t="s">
        <v>93</v>
      </c>
      <c r="H237" s="21"/>
      <c r="I237" s="21" t="s">
        <v>65</v>
      </c>
      <c r="J237" s="22" t="s">
        <v>414</v>
      </c>
      <c r="K237" s="21">
        <v>1600</v>
      </c>
      <c r="L237" s="21">
        <v>1600</v>
      </c>
      <c r="M237" s="23">
        <v>45857</v>
      </c>
      <c r="N237" s="23">
        <v>45860</v>
      </c>
      <c r="O237" s="23">
        <v>45860</v>
      </c>
      <c r="P237" s="21" t="s">
        <v>77</v>
      </c>
      <c r="Q237" s="21"/>
      <c r="R237" s="21"/>
      <c r="S237" s="21"/>
      <c r="T237" s="21"/>
      <c r="U237" s="21"/>
      <c r="V237" s="21"/>
      <c r="W237" s="21"/>
      <c r="X237" s="21"/>
      <c r="Y237" s="21"/>
      <c r="Z237" s="21" t="s">
        <v>106</v>
      </c>
      <c r="AA237" s="21">
        <v>3600</v>
      </c>
      <c r="AB237" s="21">
        <v>3000</v>
      </c>
      <c r="AC237" s="21" t="s">
        <v>110</v>
      </c>
      <c r="AD237" s="2">
        <v>45943</v>
      </c>
      <c r="AE237" s="1" t="s">
        <v>415</v>
      </c>
      <c r="AF237" s="1" t="s">
        <v>69</v>
      </c>
    </row>
    <row r="238" spans="2:33">
      <c r="B238" s="10" t="s">
        <v>107</v>
      </c>
      <c r="D238" s="151">
        <v>217</v>
      </c>
      <c r="E238" s="21" t="s">
        <v>416</v>
      </c>
      <c r="F238" s="22" t="s">
        <v>417</v>
      </c>
      <c r="G238" s="21" t="s">
        <v>40</v>
      </c>
      <c r="H238" s="21"/>
      <c r="I238" s="21" t="s">
        <v>65</v>
      </c>
      <c r="J238" s="22" t="s">
        <v>217</v>
      </c>
      <c r="K238" s="21">
        <v>1600</v>
      </c>
      <c r="L238" s="21">
        <v>1600</v>
      </c>
      <c r="M238" s="23">
        <v>45876</v>
      </c>
      <c r="N238" s="23">
        <v>45876</v>
      </c>
      <c r="O238" s="23">
        <v>45876</v>
      </c>
      <c r="P238" s="21" t="s">
        <v>367</v>
      </c>
      <c r="Q238" s="21"/>
      <c r="R238" s="21"/>
      <c r="S238" s="21"/>
      <c r="T238" s="21"/>
      <c r="U238" s="21"/>
      <c r="V238" s="21"/>
      <c r="W238" s="21"/>
      <c r="X238" s="21"/>
      <c r="Y238" s="21"/>
      <c r="Z238" s="21" t="s">
        <v>47</v>
      </c>
      <c r="AA238" s="21">
        <v>3600</v>
      </c>
      <c r="AB238" s="21"/>
      <c r="AC238" s="21"/>
      <c r="AD238" s="1"/>
      <c r="AE238" s="1"/>
      <c r="AF238" s="1"/>
    </row>
    <row r="239" spans="2:33">
      <c r="B239" s="10" t="s">
        <v>107</v>
      </c>
      <c r="D239" s="151">
        <v>218</v>
      </c>
      <c r="E239" s="21" t="s">
        <v>418</v>
      </c>
      <c r="F239" s="22" t="s">
        <v>419</v>
      </c>
      <c r="G239" s="21" t="s">
        <v>83</v>
      </c>
      <c r="H239" s="21"/>
      <c r="I239" s="21" t="s">
        <v>65</v>
      </c>
      <c r="J239" s="22" t="s">
        <v>397</v>
      </c>
      <c r="K239" s="21">
        <v>600</v>
      </c>
      <c r="L239" s="21">
        <v>600</v>
      </c>
      <c r="M239" s="23">
        <v>45880</v>
      </c>
      <c r="N239" s="23">
        <v>45880</v>
      </c>
      <c r="O239" s="23">
        <v>45880</v>
      </c>
      <c r="P239" s="21" t="s">
        <v>145</v>
      </c>
      <c r="Q239" s="21"/>
      <c r="R239" s="21"/>
      <c r="S239" s="21"/>
      <c r="T239" s="21"/>
      <c r="U239" s="21"/>
      <c r="V239" s="21"/>
      <c r="W239" s="21"/>
      <c r="X239" s="21"/>
      <c r="Y239" s="21"/>
      <c r="Z239" s="21" t="s">
        <v>106</v>
      </c>
      <c r="AA239" s="21">
        <v>4800</v>
      </c>
      <c r="AB239" s="21">
        <v>2400</v>
      </c>
      <c r="AC239" s="21" t="s">
        <v>110</v>
      </c>
      <c r="AD239" s="2">
        <v>45939</v>
      </c>
      <c r="AE239" s="1"/>
      <c r="AF239" s="1" t="s">
        <v>420</v>
      </c>
      <c r="AG239" t="s">
        <v>155</v>
      </c>
    </row>
    <row r="240" spans="2:33">
      <c r="B240" s="10" t="s">
        <v>107</v>
      </c>
      <c r="D240" s="151">
        <v>219</v>
      </c>
      <c r="E240" s="21" t="s">
        <v>421</v>
      </c>
      <c r="F240" s="22" t="s">
        <v>422</v>
      </c>
      <c r="G240" s="21" t="s">
        <v>40</v>
      </c>
      <c r="H240" s="21"/>
      <c r="I240" s="21" t="s">
        <v>65</v>
      </c>
      <c r="J240" s="22" t="s">
        <v>217</v>
      </c>
      <c r="K240" s="21">
        <v>1600</v>
      </c>
      <c r="L240" s="21">
        <v>1600</v>
      </c>
      <c r="M240" s="23">
        <v>45880</v>
      </c>
      <c r="N240" s="23">
        <v>45892</v>
      </c>
      <c r="O240" s="23">
        <v>45880</v>
      </c>
      <c r="P240" s="21" t="s">
        <v>253</v>
      </c>
      <c r="Q240" s="21"/>
      <c r="R240" s="21"/>
      <c r="S240" s="21"/>
      <c r="T240" s="21"/>
      <c r="U240" s="21"/>
      <c r="V240" s="21"/>
      <c r="W240" s="21"/>
      <c r="X240" s="21"/>
      <c r="Y240" s="21"/>
      <c r="Z240" s="21" t="s">
        <v>47</v>
      </c>
      <c r="AA240" s="21">
        <v>3600</v>
      </c>
      <c r="AB240" s="21">
        <v>3600</v>
      </c>
      <c r="AC240" s="21" t="s">
        <v>46</v>
      </c>
      <c r="AD240" s="2">
        <v>45934</v>
      </c>
      <c r="AE240" s="1"/>
      <c r="AF240" s="1"/>
    </row>
    <row r="241" spans="1:32">
      <c r="B241" s="10" t="s">
        <v>107</v>
      </c>
      <c r="D241" s="151">
        <v>220</v>
      </c>
      <c r="E241" s="21" t="s">
        <v>423</v>
      </c>
      <c r="F241" s="22" t="s">
        <v>424</v>
      </c>
      <c r="G241" s="21" t="s">
        <v>40</v>
      </c>
      <c r="H241" s="21"/>
      <c r="I241" s="21" t="s">
        <v>65</v>
      </c>
      <c r="J241" s="22" t="s">
        <v>217</v>
      </c>
      <c r="K241" s="21">
        <v>1600</v>
      </c>
      <c r="L241" s="21">
        <v>1600</v>
      </c>
      <c r="M241" s="23">
        <v>45880</v>
      </c>
      <c r="N241" s="23">
        <v>45892</v>
      </c>
      <c r="O241" s="23">
        <v>45880</v>
      </c>
      <c r="P241" s="21" t="s">
        <v>253</v>
      </c>
      <c r="Q241" s="21"/>
      <c r="R241" s="21"/>
      <c r="S241" s="21"/>
      <c r="T241" s="21"/>
      <c r="U241" s="21"/>
      <c r="V241" s="21"/>
      <c r="W241" s="21"/>
      <c r="X241" s="21"/>
      <c r="Y241" s="21"/>
      <c r="Z241" s="21" t="s">
        <v>47</v>
      </c>
      <c r="AA241" s="21">
        <v>3600</v>
      </c>
      <c r="AB241" s="21"/>
      <c r="AC241" s="21"/>
      <c r="AD241" s="1"/>
      <c r="AE241" s="1"/>
      <c r="AF241" s="1"/>
    </row>
    <row r="242" spans="1:32">
      <c r="B242" s="10" t="s">
        <v>63</v>
      </c>
      <c r="D242" s="151">
        <v>221</v>
      </c>
      <c r="E242" s="21" t="s">
        <v>425</v>
      </c>
      <c r="F242" s="22" t="s">
        <v>426</v>
      </c>
      <c r="G242" s="21" t="s">
        <v>34</v>
      </c>
      <c r="H242" s="21"/>
      <c r="I242" s="21" t="s">
        <v>65</v>
      </c>
      <c r="J242" s="22" t="s">
        <v>427</v>
      </c>
      <c r="K242" s="21">
        <v>1600</v>
      </c>
      <c r="L242" s="21">
        <v>1600</v>
      </c>
      <c r="M242" s="23">
        <v>45897</v>
      </c>
      <c r="N242" s="23">
        <v>45897</v>
      </c>
      <c r="O242" s="23">
        <v>45895</v>
      </c>
      <c r="P242" s="21" t="s">
        <v>77</v>
      </c>
      <c r="Q242" s="21"/>
      <c r="R242" s="21"/>
      <c r="S242" s="21"/>
      <c r="T242" s="21"/>
      <c r="U242" s="21"/>
      <c r="V242" s="21"/>
      <c r="W242" s="21"/>
      <c r="X242" s="21"/>
      <c r="Y242" s="21"/>
      <c r="Z242" s="21" t="s">
        <v>428</v>
      </c>
      <c r="AA242" s="21">
        <v>3600</v>
      </c>
      <c r="AB242" s="21"/>
      <c r="AC242" s="21"/>
      <c r="AD242" s="1"/>
      <c r="AE242" s="1"/>
      <c r="AF242" s="1"/>
    </row>
    <row r="243" spans="1:32">
      <c r="B243" s="10" t="s">
        <v>107</v>
      </c>
      <c r="D243" s="151">
        <v>222</v>
      </c>
      <c r="E243" s="21" t="s">
        <v>429</v>
      </c>
      <c r="F243" s="22" t="s">
        <v>430</v>
      </c>
      <c r="G243" s="21" t="s">
        <v>40</v>
      </c>
      <c r="H243" s="21"/>
      <c r="I243" s="21" t="s">
        <v>65</v>
      </c>
      <c r="J243" s="22" t="s">
        <v>217</v>
      </c>
      <c r="K243" s="21">
        <v>1600</v>
      </c>
      <c r="L243" s="21">
        <v>1600</v>
      </c>
      <c r="M243" s="23">
        <v>45913</v>
      </c>
      <c r="N243" s="23">
        <v>45916</v>
      </c>
      <c r="O243" s="23">
        <v>45916</v>
      </c>
      <c r="P243" s="21" t="s">
        <v>431</v>
      </c>
      <c r="Q243" s="21"/>
      <c r="R243" s="21"/>
      <c r="S243" s="21"/>
      <c r="T243" s="21"/>
      <c r="U243" s="21"/>
      <c r="V243" s="21"/>
      <c r="W243" s="21"/>
      <c r="X243" s="21"/>
      <c r="Y243" s="21"/>
      <c r="Z243" s="21" t="s">
        <v>236</v>
      </c>
      <c r="AA243" s="21">
        <v>3600</v>
      </c>
      <c r="AB243" s="21">
        <v>1600</v>
      </c>
      <c r="AC243" s="10" t="s">
        <v>110</v>
      </c>
      <c r="AD243" s="23">
        <v>45916</v>
      </c>
      <c r="AE243" s="1">
        <v>1</v>
      </c>
      <c r="AF243" s="1"/>
    </row>
    <row r="244" spans="1:32">
      <c r="B244" s="10" t="s">
        <v>107</v>
      </c>
      <c r="D244" s="151">
        <v>223</v>
      </c>
      <c r="E244" s="21" t="s">
        <v>432</v>
      </c>
      <c r="F244" s="22" t="s">
        <v>433</v>
      </c>
      <c r="G244" s="21" t="s">
        <v>93</v>
      </c>
      <c r="H244" s="21"/>
      <c r="I244" s="21" t="s">
        <v>65</v>
      </c>
      <c r="J244" s="22" t="s">
        <v>300</v>
      </c>
      <c r="K244" s="21">
        <v>1600</v>
      </c>
      <c r="L244" s="21">
        <v>1600</v>
      </c>
      <c r="M244" s="23">
        <v>45907</v>
      </c>
      <c r="N244" s="23">
        <v>45912</v>
      </c>
      <c r="O244" s="23">
        <v>45908</v>
      </c>
      <c r="P244" s="21" t="s">
        <v>77</v>
      </c>
      <c r="Q244" s="21"/>
      <c r="R244" s="21"/>
      <c r="S244" s="21"/>
      <c r="T244" s="21"/>
      <c r="U244" s="21"/>
      <c r="V244" s="21"/>
      <c r="W244" s="21"/>
      <c r="X244" s="21"/>
      <c r="Y244" s="21"/>
      <c r="Z244" s="21" t="s">
        <v>106</v>
      </c>
      <c r="AA244" s="21">
        <v>4800</v>
      </c>
      <c r="AB244" s="21">
        <v>2400</v>
      </c>
      <c r="AC244" s="10" t="s">
        <v>110</v>
      </c>
      <c r="AD244" s="23">
        <v>45944</v>
      </c>
      <c r="AE244" s="1">
        <v>2</v>
      </c>
      <c r="AF244" s="1"/>
    </row>
    <row r="245" spans="1:32">
      <c r="B245" s="10" t="s">
        <v>63</v>
      </c>
      <c r="D245" s="151">
        <v>224</v>
      </c>
      <c r="E245" s="21" t="s">
        <v>434</v>
      </c>
      <c r="F245" s="22" t="s">
        <v>435</v>
      </c>
      <c r="G245" s="21" t="s">
        <v>93</v>
      </c>
      <c r="H245" s="21"/>
      <c r="I245" s="21" t="s">
        <v>65</v>
      </c>
      <c r="J245" s="22" t="s">
        <v>387</v>
      </c>
      <c r="K245" s="21">
        <v>1600</v>
      </c>
      <c r="L245" s="21">
        <v>1600</v>
      </c>
      <c r="M245" s="23">
        <v>45929</v>
      </c>
      <c r="N245" s="23">
        <v>45922</v>
      </c>
      <c r="O245" s="23">
        <v>45908</v>
      </c>
      <c r="P245" s="21" t="s">
        <v>436</v>
      </c>
      <c r="Q245" s="21"/>
      <c r="R245" s="21"/>
      <c r="S245" s="21"/>
      <c r="T245" s="21"/>
      <c r="U245" s="21"/>
      <c r="V245" s="21"/>
      <c r="W245" s="21"/>
      <c r="X245" s="21"/>
      <c r="Y245" s="21"/>
      <c r="Z245" s="21" t="s">
        <v>106</v>
      </c>
      <c r="AA245" s="21">
        <v>4800</v>
      </c>
      <c r="AB245" s="21">
        <v>1600</v>
      </c>
      <c r="AC245" s="21" t="s">
        <v>110</v>
      </c>
      <c r="AD245" s="2">
        <v>45929</v>
      </c>
      <c r="AE245" s="1">
        <v>1</v>
      </c>
      <c r="AF245" s="1"/>
    </row>
    <row r="246" spans="1:32">
      <c r="A246" s="10" t="s">
        <v>437</v>
      </c>
      <c r="B246" s="10" t="s">
        <v>63</v>
      </c>
      <c r="D246" s="151">
        <v>225</v>
      </c>
      <c r="E246" s="21" t="s">
        <v>438</v>
      </c>
      <c r="F246" s="22" t="s">
        <v>439</v>
      </c>
      <c r="G246" s="21" t="s">
        <v>93</v>
      </c>
      <c r="H246" s="21"/>
      <c r="I246" s="21" t="s">
        <v>35</v>
      </c>
      <c r="J246" s="22" t="s">
        <v>264</v>
      </c>
      <c r="K246" s="21">
        <v>1600</v>
      </c>
      <c r="L246" s="21">
        <v>1600</v>
      </c>
      <c r="M246" s="23">
        <v>45928</v>
      </c>
      <c r="N246" s="23">
        <v>45928</v>
      </c>
      <c r="O246" s="23">
        <v>45928</v>
      </c>
      <c r="P246" s="21" t="s">
        <v>440</v>
      </c>
      <c r="Q246" s="21"/>
      <c r="R246" s="21"/>
      <c r="S246" s="21"/>
      <c r="T246" s="21"/>
      <c r="U246" s="21"/>
      <c r="V246" s="21"/>
      <c r="W246" s="21"/>
      <c r="X246" s="21"/>
      <c r="Y246" s="21"/>
      <c r="Z246" s="21" t="s">
        <v>441</v>
      </c>
      <c r="AA246" s="21">
        <v>4800</v>
      </c>
      <c r="AB246" s="21">
        <v>4800</v>
      </c>
      <c r="AC246" s="21" t="s">
        <v>46</v>
      </c>
      <c r="AD246" s="1"/>
      <c r="AE246" s="1"/>
      <c r="AF246" s="1"/>
    </row>
    <row r="247" spans="1:32">
      <c r="D247" s="151">
        <v>225</v>
      </c>
      <c r="E247" s="21" t="s">
        <v>438</v>
      </c>
      <c r="F247" s="22" t="s">
        <v>439</v>
      </c>
      <c r="G247" s="21" t="s">
        <v>40</v>
      </c>
      <c r="H247" s="21"/>
      <c r="I247" s="21" t="s">
        <v>65</v>
      </c>
      <c r="J247" s="22" t="s">
        <v>217</v>
      </c>
      <c r="K247" s="21">
        <v>400</v>
      </c>
      <c r="L247" s="21">
        <v>400</v>
      </c>
      <c r="M247" s="23"/>
      <c r="N247" s="23"/>
      <c r="O247" s="23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1"/>
      <c r="AE247" s="1"/>
      <c r="AF247" s="1"/>
    </row>
    <row r="248" spans="1:32">
      <c r="A248" s="10" t="s">
        <v>437</v>
      </c>
      <c r="B248" s="10" t="s">
        <v>63</v>
      </c>
      <c r="D248" s="151">
        <v>226</v>
      </c>
      <c r="E248" s="21" t="s">
        <v>442</v>
      </c>
      <c r="F248" s="22" t="s">
        <v>443</v>
      </c>
      <c r="G248" s="21" t="s">
        <v>93</v>
      </c>
      <c r="H248" s="21"/>
      <c r="I248" s="21" t="s">
        <v>65</v>
      </c>
      <c r="J248" s="22" t="s">
        <v>264</v>
      </c>
      <c r="K248" s="21">
        <v>1600</v>
      </c>
      <c r="L248" s="21">
        <v>1600</v>
      </c>
      <c r="M248" s="23">
        <v>45941</v>
      </c>
      <c r="N248" s="23">
        <v>45941</v>
      </c>
      <c r="O248" s="23">
        <v>45941</v>
      </c>
      <c r="P248" s="21" t="s">
        <v>440</v>
      </c>
      <c r="Q248" s="21"/>
      <c r="R248" s="21"/>
      <c r="S248" s="21"/>
      <c r="T248" s="21"/>
      <c r="U248" s="21"/>
      <c r="V248" s="21"/>
      <c r="W248" s="21"/>
      <c r="X248" s="21"/>
      <c r="Y248" s="21"/>
      <c r="Z248" s="21" t="s">
        <v>47</v>
      </c>
      <c r="AA248" s="21">
        <v>4800</v>
      </c>
      <c r="AB248" s="21">
        <v>2400</v>
      </c>
      <c r="AC248" s="21" t="s">
        <v>110</v>
      </c>
      <c r="AD248" s="2">
        <v>45941</v>
      </c>
      <c r="AE248" s="1"/>
      <c r="AF248" s="1"/>
    </row>
    <row r="249" spans="1:32">
      <c r="B249" s="10" t="s">
        <v>63</v>
      </c>
      <c r="D249" s="151">
        <v>227</v>
      </c>
      <c r="E249" s="21" t="s">
        <v>444</v>
      </c>
      <c r="F249" s="22" t="s">
        <v>445</v>
      </c>
      <c r="G249" s="21"/>
      <c r="H249" s="21"/>
      <c r="I249" s="21" t="s">
        <v>65</v>
      </c>
      <c r="J249" s="22" t="s">
        <v>203</v>
      </c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1"/>
      <c r="AE249" s="1"/>
      <c r="AF249" s="1"/>
    </row>
    <row r="250" spans="1:32">
      <c r="D250" s="151">
        <v>228</v>
      </c>
      <c r="E250" s="21" t="s">
        <v>446</v>
      </c>
      <c r="F250" s="22" t="s">
        <v>447</v>
      </c>
      <c r="G250" s="21" t="s">
        <v>40</v>
      </c>
      <c r="H250" s="21"/>
      <c r="I250" s="21" t="s">
        <v>65</v>
      </c>
      <c r="J250" s="22" t="s">
        <v>217</v>
      </c>
      <c r="K250" s="21">
        <v>1600</v>
      </c>
      <c r="L250" s="21">
        <v>1600</v>
      </c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1"/>
      <c r="AE250" s="1"/>
      <c r="AF250" s="1"/>
    </row>
    <row r="251" spans="1:32">
      <c r="D251" s="151"/>
      <c r="E251" s="21"/>
      <c r="F251" s="22"/>
      <c r="G251" s="21"/>
      <c r="H251" s="21"/>
      <c r="I251" s="21"/>
      <c r="J251" s="22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1"/>
      <c r="AE251" s="1"/>
      <c r="AF251" s="1"/>
    </row>
    <row r="252" spans="1:32">
      <c r="D252" s="151"/>
      <c r="E252" s="21"/>
      <c r="F252" s="22"/>
      <c r="G252" s="21"/>
      <c r="H252" s="21"/>
      <c r="I252" s="21"/>
      <c r="J252" s="22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1"/>
      <c r="AE252" s="1"/>
      <c r="AF252" s="1"/>
    </row>
    <row r="253" spans="1:32">
      <c r="D253" s="151"/>
      <c r="E253" s="21"/>
      <c r="F253" s="22"/>
      <c r="G253" s="21"/>
      <c r="H253" s="21"/>
      <c r="I253" s="21"/>
      <c r="J253" s="22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1"/>
      <c r="AE253" s="1"/>
      <c r="AF253" s="1"/>
    </row>
    <row r="254" spans="1:32">
      <c r="D254" s="151"/>
      <c r="E254" s="21"/>
      <c r="F254" s="22"/>
      <c r="G254" s="21"/>
      <c r="H254" s="21"/>
      <c r="I254" s="21"/>
      <c r="J254" s="22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1"/>
      <c r="AE254" s="1"/>
      <c r="AF254" s="1"/>
    </row>
    <row r="255" spans="1:32">
      <c r="D255" s="151"/>
      <c r="E255" s="21"/>
      <c r="F255" s="22"/>
      <c r="G255" s="21"/>
      <c r="H255" s="21"/>
      <c r="I255" s="21"/>
      <c r="J255" s="22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1"/>
      <c r="AE255" s="1"/>
      <c r="AF255" s="1"/>
    </row>
    <row r="256" spans="1:32">
      <c r="D256" s="151"/>
      <c r="E256" s="21"/>
      <c r="F256" s="22"/>
      <c r="G256" s="21"/>
      <c r="H256" s="21"/>
      <c r="I256" s="21"/>
      <c r="J256" s="22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1"/>
      <c r="AE256" s="1"/>
      <c r="AF256" s="1"/>
    </row>
    <row r="257" spans="4:32">
      <c r="D257" s="151"/>
      <c r="E257" s="21"/>
      <c r="F257" s="22"/>
      <c r="G257" s="21"/>
      <c r="H257" s="21"/>
      <c r="I257" s="21"/>
      <c r="J257" s="22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1"/>
      <c r="AE257" s="1"/>
      <c r="AF257" s="1"/>
    </row>
    <row r="258" spans="4:32">
      <c r="D258" s="151"/>
      <c r="E258" s="21"/>
      <c r="F258" s="22"/>
      <c r="G258" s="21"/>
      <c r="H258" s="21"/>
      <c r="I258" s="21"/>
      <c r="J258" s="22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1"/>
      <c r="AE258" s="1"/>
      <c r="AF258" s="1"/>
    </row>
    <row r="259" spans="4:32">
      <c r="D259" s="151"/>
      <c r="E259" s="21"/>
      <c r="F259" s="22"/>
      <c r="G259" s="21"/>
      <c r="H259" s="21"/>
      <c r="I259" s="21"/>
      <c r="J259" s="22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1"/>
      <c r="AE259" s="1"/>
      <c r="AF259" s="1"/>
    </row>
    <row r="260" spans="4:32">
      <c r="D260" s="151"/>
      <c r="E260" s="21"/>
      <c r="F260" s="22"/>
      <c r="G260" s="21"/>
      <c r="H260" s="21"/>
      <c r="I260" s="21"/>
      <c r="J260" s="22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1"/>
      <c r="AE260" s="1"/>
      <c r="AF260" s="1"/>
    </row>
    <row r="261" spans="4:32">
      <c r="D261" s="151"/>
      <c r="E261" s="21"/>
      <c r="F261" s="22"/>
      <c r="G261" s="21"/>
      <c r="H261" s="21"/>
      <c r="I261" s="21"/>
      <c r="J261" s="22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1"/>
      <c r="AE261" s="1"/>
      <c r="AF261" s="1"/>
    </row>
    <row r="262" spans="4:32">
      <c r="D262" s="151"/>
      <c r="E262" s="21"/>
      <c r="F262" s="22"/>
      <c r="G262" s="21"/>
      <c r="H262" s="21"/>
      <c r="I262" s="21"/>
      <c r="J262" s="22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1"/>
      <c r="AE262" s="1"/>
      <c r="AF262" s="1"/>
    </row>
    <row r="263" spans="4:32">
      <c r="D263" s="151"/>
      <c r="E263" s="21"/>
      <c r="F263" s="22"/>
      <c r="G263" s="21"/>
      <c r="H263" s="21"/>
      <c r="I263" s="21"/>
      <c r="J263" s="22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1"/>
      <c r="AE263" s="1"/>
      <c r="AF263" s="1"/>
    </row>
    <row r="264" spans="4:32">
      <c r="D264" s="151"/>
      <c r="E264" s="21"/>
      <c r="F264" s="22"/>
      <c r="G264" s="21"/>
      <c r="H264" s="21"/>
      <c r="I264" s="21"/>
      <c r="J264" s="22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1"/>
      <c r="AE264" s="1"/>
      <c r="AF264" s="1"/>
    </row>
    <row r="265" spans="4:32">
      <c r="D265" s="151"/>
      <c r="E265" s="21"/>
      <c r="F265" s="22"/>
      <c r="G265" s="21"/>
      <c r="H265" s="21"/>
      <c r="I265" s="21"/>
      <c r="J265" s="22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1"/>
      <c r="AE265" s="1"/>
      <c r="AF265" s="1"/>
    </row>
    <row r="266" spans="4:32">
      <c r="D266" s="151"/>
      <c r="E266" s="21"/>
      <c r="F266" s="22"/>
      <c r="G266" s="21"/>
      <c r="H266" s="21"/>
      <c r="I266" s="21"/>
      <c r="J266" s="22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1"/>
      <c r="AE266" s="1"/>
      <c r="AF266" s="1"/>
    </row>
    <row r="267" spans="4:32">
      <c r="D267" s="151"/>
      <c r="E267" s="21"/>
      <c r="F267" s="22"/>
      <c r="G267" s="21"/>
      <c r="H267" s="21"/>
      <c r="I267" s="21"/>
      <c r="J267" s="22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1"/>
      <c r="AE267" s="1"/>
      <c r="AF267" s="1"/>
    </row>
    <row r="268" spans="4:32">
      <c r="D268" s="151"/>
      <c r="E268" s="21"/>
      <c r="F268" s="22"/>
      <c r="G268" s="21"/>
      <c r="H268" s="21"/>
      <c r="I268" s="21"/>
      <c r="J268" s="22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1"/>
      <c r="AE268" s="1"/>
      <c r="AF268" s="1"/>
    </row>
    <row r="269" spans="4:32">
      <c r="D269" s="151"/>
      <c r="E269" s="21"/>
      <c r="F269" s="22"/>
      <c r="G269" s="21"/>
      <c r="H269" s="21"/>
      <c r="I269" s="21"/>
      <c r="J269" s="22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1"/>
      <c r="AE269" s="1"/>
      <c r="AF269" s="1"/>
    </row>
    <row r="270" spans="4:32">
      <c r="D270" s="151"/>
      <c r="E270" s="21"/>
      <c r="F270" s="22"/>
      <c r="G270" s="21"/>
      <c r="H270" s="21"/>
      <c r="I270" s="21"/>
      <c r="J270" s="22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1"/>
      <c r="AE270" s="1"/>
      <c r="AF270" s="1"/>
    </row>
    <row r="271" spans="4:32">
      <c r="D271" s="151"/>
      <c r="E271" s="21"/>
      <c r="F271" s="22"/>
      <c r="G271" s="21"/>
      <c r="H271" s="21"/>
      <c r="I271" s="21"/>
      <c r="J271" s="22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1"/>
      <c r="AE271" s="1"/>
      <c r="AF271" s="1"/>
    </row>
    <row r="272" spans="4:32">
      <c r="D272" s="151"/>
      <c r="E272" s="21"/>
      <c r="F272" s="22"/>
      <c r="G272" s="21"/>
      <c r="H272" s="21"/>
      <c r="I272" s="21"/>
      <c r="J272" s="22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1"/>
      <c r="AE272" s="1"/>
      <c r="AF272" s="1"/>
    </row>
    <row r="273" spans="4:32">
      <c r="D273" s="151"/>
      <c r="E273" s="21"/>
      <c r="F273" s="22"/>
      <c r="G273" s="21"/>
      <c r="H273" s="21"/>
      <c r="I273" s="21"/>
      <c r="J273" s="22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1"/>
      <c r="AE273" s="1"/>
      <c r="AF273" s="1"/>
    </row>
    <row r="274" spans="4:32">
      <c r="D274" s="151"/>
      <c r="E274" s="21"/>
      <c r="F274" s="22"/>
      <c r="G274" s="21"/>
      <c r="H274" s="21"/>
      <c r="I274" s="21"/>
      <c r="J274" s="22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1"/>
      <c r="AE274" s="1"/>
      <c r="AF274" s="1"/>
    </row>
    <row r="275" spans="4:32">
      <c r="D275" s="151"/>
      <c r="E275" s="21"/>
      <c r="F275" s="22"/>
      <c r="G275" s="21"/>
      <c r="H275" s="21"/>
      <c r="I275" s="21"/>
      <c r="J275" s="22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1"/>
      <c r="AE275" s="1"/>
      <c r="AF275" s="1"/>
    </row>
    <row r="276" spans="4:32">
      <c r="D276" s="151"/>
      <c r="E276" s="21"/>
      <c r="F276" s="22"/>
      <c r="G276" s="21"/>
      <c r="H276" s="21"/>
      <c r="I276" s="21"/>
      <c r="J276" s="22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1"/>
      <c r="AE276" s="1"/>
      <c r="AF276" s="1"/>
    </row>
    <row r="277" spans="4:32">
      <c r="D277" s="151"/>
      <c r="E277" s="21"/>
      <c r="F277" s="22"/>
      <c r="G277" s="21"/>
      <c r="H277" s="21"/>
      <c r="I277" s="21"/>
      <c r="J277" s="22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1"/>
      <c r="AE277" s="1"/>
      <c r="AF277" s="1"/>
    </row>
    <row r="278" spans="4:32">
      <c r="D278" s="151"/>
      <c r="E278" s="21"/>
      <c r="F278" s="22"/>
      <c r="G278" s="21"/>
      <c r="H278" s="21"/>
      <c r="I278" s="21"/>
      <c r="J278" s="22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1"/>
      <c r="AE278" s="1"/>
      <c r="AF278" s="1"/>
    </row>
    <row r="279" spans="4:32">
      <c r="D279" s="151"/>
      <c r="E279" s="21"/>
      <c r="F279" s="22"/>
      <c r="G279" s="21"/>
      <c r="H279" s="21"/>
      <c r="I279" s="21"/>
      <c r="J279" s="22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1"/>
      <c r="AE279" s="1"/>
      <c r="AF279" s="1"/>
    </row>
    <row r="280" spans="4:32">
      <c r="D280" s="151"/>
      <c r="E280" s="21"/>
      <c r="F280" s="22"/>
      <c r="G280" s="21"/>
      <c r="H280" s="21"/>
      <c r="I280" s="21"/>
      <c r="J280" s="22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1"/>
      <c r="AE280" s="1"/>
      <c r="AF280" s="1"/>
    </row>
    <row r="281" spans="4:32">
      <c r="D281" s="151"/>
      <c r="E281" s="21"/>
      <c r="F281" s="22"/>
      <c r="G281" s="21"/>
      <c r="H281" s="21"/>
      <c r="I281" s="21"/>
      <c r="J281" s="22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1"/>
      <c r="AE281" s="1"/>
      <c r="AF281" s="1"/>
    </row>
    <row r="282" spans="4:32">
      <c r="D282" s="151"/>
      <c r="E282" s="21"/>
      <c r="F282" s="22"/>
      <c r="G282" s="21"/>
      <c r="H282" s="21"/>
      <c r="I282" s="21"/>
      <c r="J282" s="22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1"/>
      <c r="AE282" s="1"/>
      <c r="AF282" s="1"/>
    </row>
    <row r="283" spans="4:32">
      <c r="D283" s="151"/>
      <c r="E283" s="21"/>
      <c r="F283" s="22"/>
      <c r="G283" s="21"/>
      <c r="H283" s="21"/>
      <c r="I283" s="21"/>
      <c r="J283" s="22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1"/>
      <c r="AE283" s="1"/>
      <c r="AF283" s="1"/>
    </row>
    <row r="284" spans="4:32">
      <c r="D284" s="151"/>
      <c r="E284" s="21"/>
      <c r="F284" s="22"/>
      <c r="G284" s="21"/>
      <c r="H284" s="21"/>
      <c r="I284" s="21"/>
      <c r="J284" s="22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1"/>
      <c r="AE284" s="1"/>
      <c r="AF284" s="1"/>
    </row>
    <row r="285" spans="4:32">
      <c r="D285" s="151"/>
      <c r="E285" s="21"/>
      <c r="F285" s="22"/>
      <c r="G285" s="21"/>
      <c r="H285" s="21"/>
      <c r="I285" s="21"/>
      <c r="J285" s="22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1"/>
      <c r="AE285" s="1"/>
      <c r="AF285" s="1"/>
    </row>
    <row r="286" spans="4:32">
      <c r="D286" s="151"/>
      <c r="E286" s="21"/>
      <c r="F286" s="22"/>
      <c r="G286" s="21"/>
      <c r="H286" s="21"/>
      <c r="I286" s="21"/>
      <c r="J286" s="22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1"/>
      <c r="AE286" s="1"/>
      <c r="AF286" s="1"/>
    </row>
    <row r="287" spans="4:32">
      <c r="D287" s="151"/>
      <c r="E287" s="21"/>
      <c r="F287" s="22"/>
      <c r="G287" s="21"/>
      <c r="H287" s="21"/>
      <c r="I287" s="21"/>
      <c r="J287" s="22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1"/>
      <c r="AE287" s="1"/>
      <c r="AF287" s="1"/>
    </row>
    <row r="288" spans="4:32">
      <c r="D288" s="151"/>
      <c r="E288" s="21"/>
      <c r="F288" s="22"/>
      <c r="G288" s="21"/>
      <c r="H288" s="21"/>
      <c r="I288" s="21"/>
      <c r="J288" s="22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1"/>
      <c r="AE288" s="1"/>
      <c r="AF288" s="1"/>
    </row>
    <row r="289" spans="4:32">
      <c r="D289" s="151"/>
      <c r="E289" s="21"/>
      <c r="F289" s="22"/>
      <c r="G289" s="21"/>
      <c r="H289" s="21"/>
      <c r="I289" s="21"/>
      <c r="J289" s="22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1"/>
      <c r="AE289" s="1"/>
      <c r="AF289" s="1"/>
    </row>
    <row r="290" spans="4:32">
      <c r="D290" s="151"/>
      <c r="E290" s="21"/>
      <c r="F290" s="22"/>
      <c r="G290" s="21"/>
      <c r="H290" s="21"/>
      <c r="I290" s="21"/>
      <c r="J290" s="22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1"/>
      <c r="AE290" s="1"/>
      <c r="AF290" s="1"/>
    </row>
    <row r="291" spans="4:32">
      <c r="D291" s="151"/>
      <c r="E291" s="21"/>
      <c r="F291" s="22"/>
      <c r="G291" s="21"/>
      <c r="H291" s="21"/>
      <c r="I291" s="21"/>
      <c r="J291" s="22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1"/>
      <c r="AE291" s="1"/>
      <c r="AF291" s="1"/>
    </row>
    <row r="292" spans="4:32">
      <c r="D292" s="151"/>
      <c r="E292" s="21"/>
      <c r="F292" s="22"/>
      <c r="G292" s="21"/>
      <c r="H292" s="21"/>
      <c r="I292" s="21"/>
      <c r="J292" s="22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1"/>
      <c r="AE292" s="1"/>
      <c r="AF292" s="1"/>
    </row>
    <row r="293" spans="4:32">
      <c r="D293" s="128"/>
      <c r="E293" s="126"/>
      <c r="F293" s="127"/>
      <c r="G293" s="126"/>
      <c r="H293" s="126"/>
      <c r="I293" s="126"/>
      <c r="J293" s="127"/>
      <c r="K293" s="126"/>
      <c r="L293" s="126"/>
      <c r="M293" s="118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21"/>
      <c r="AA293" s="21"/>
      <c r="AB293" s="126"/>
      <c r="AC293" s="126"/>
      <c r="AD293" s="128"/>
      <c r="AE293" s="128"/>
      <c r="AF293" s="128"/>
    </row>
  </sheetData>
  <sortState xmlns:xlrd2="http://schemas.microsoft.com/office/spreadsheetml/2017/richdata2" ref="A3:AF112">
    <sortCondition ref="E3:E112"/>
  </sortState>
  <phoneticPr fontId="5" alignment="center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DEFF4-A702-40D2-BC4D-3993F27F0B9E}">
  <dimension ref="B2:G39"/>
  <sheetViews>
    <sheetView topLeftCell="B1" workbookViewId="0">
      <selection activeCell="F20" sqref="F20"/>
    </sheetView>
  </sheetViews>
  <sheetFormatPr defaultRowHeight="15"/>
  <cols>
    <col min="2" max="2" width="9.140625" style="7"/>
    <col min="4" max="4" width="23.5703125" bestFit="1" customWidth="1"/>
    <col min="6" max="6" width="14.85546875" bestFit="1" customWidth="1"/>
    <col min="7" max="7" width="18" customWidth="1"/>
  </cols>
  <sheetData>
    <row r="2" spans="2:7" ht="30">
      <c r="B2" s="148" t="s">
        <v>2</v>
      </c>
      <c r="C2" s="148" t="s">
        <v>3</v>
      </c>
      <c r="D2" s="149" t="s">
        <v>4</v>
      </c>
      <c r="E2" s="148" t="s">
        <v>5</v>
      </c>
      <c r="F2" s="149" t="s">
        <v>448</v>
      </c>
      <c r="G2" s="148" t="s">
        <v>13</v>
      </c>
    </row>
    <row r="3" spans="2:7">
      <c r="B3" s="151">
        <v>1</v>
      </c>
      <c r="C3" s="21" t="s">
        <v>389</v>
      </c>
      <c r="D3" s="22" t="s">
        <v>390</v>
      </c>
      <c r="E3" s="21" t="s">
        <v>34</v>
      </c>
      <c r="F3" s="22" t="s">
        <v>36</v>
      </c>
      <c r="G3" s="21"/>
    </row>
    <row r="4" spans="2:7">
      <c r="B4" s="151">
        <v>1</v>
      </c>
      <c r="C4" s="21" t="s">
        <v>391</v>
      </c>
      <c r="D4" s="22" t="s">
        <v>392</v>
      </c>
      <c r="E4" s="21" t="s">
        <v>34</v>
      </c>
      <c r="F4" s="22" t="s">
        <v>36</v>
      </c>
      <c r="G4" s="21"/>
    </row>
    <row r="5" spans="2:7">
      <c r="B5" s="151">
        <v>1</v>
      </c>
      <c r="C5" s="21" t="s">
        <v>425</v>
      </c>
      <c r="D5" s="22" t="s">
        <v>426</v>
      </c>
      <c r="E5" s="21" t="s">
        <v>34</v>
      </c>
      <c r="F5" s="22" t="s">
        <v>36</v>
      </c>
      <c r="G5" s="23">
        <v>45895</v>
      </c>
    </row>
    <row r="6" spans="2:7">
      <c r="B6" s="151">
        <v>2</v>
      </c>
      <c r="C6" s="21" t="s">
        <v>222</v>
      </c>
      <c r="D6" s="22" t="s">
        <v>223</v>
      </c>
      <c r="E6" s="21" t="s">
        <v>93</v>
      </c>
      <c r="F6" s="22" t="s">
        <v>36</v>
      </c>
      <c r="G6" s="23">
        <v>45637</v>
      </c>
    </row>
    <row r="7" spans="2:7">
      <c r="B7" s="151">
        <v>2</v>
      </c>
      <c r="C7" s="21" t="s">
        <v>375</v>
      </c>
      <c r="D7" s="22" t="s">
        <v>376</v>
      </c>
      <c r="E7" s="21" t="s">
        <v>93</v>
      </c>
      <c r="F7" s="22" t="s">
        <v>36</v>
      </c>
      <c r="G7" s="23">
        <v>45818</v>
      </c>
    </row>
    <row r="8" spans="2:7">
      <c r="B8" s="151">
        <v>2</v>
      </c>
      <c r="C8" s="21" t="s">
        <v>403</v>
      </c>
      <c r="D8" s="22" t="s">
        <v>404</v>
      </c>
      <c r="E8" s="21" t="s">
        <v>93</v>
      </c>
      <c r="F8" s="22" t="s">
        <v>36</v>
      </c>
      <c r="G8" s="23">
        <v>45840</v>
      </c>
    </row>
    <row r="9" spans="2:7">
      <c r="B9" s="151">
        <v>2</v>
      </c>
      <c r="C9" s="21" t="s">
        <v>410</v>
      </c>
      <c r="D9" s="22" t="s">
        <v>411</v>
      </c>
      <c r="E9" s="21" t="s">
        <v>93</v>
      </c>
      <c r="F9" s="22" t="s">
        <v>36</v>
      </c>
      <c r="G9" s="23">
        <v>45844</v>
      </c>
    </row>
    <row r="10" spans="2:7">
      <c r="B10" s="151">
        <v>2</v>
      </c>
      <c r="C10" s="21" t="s">
        <v>434</v>
      </c>
      <c r="D10" s="22" t="s">
        <v>435</v>
      </c>
      <c r="E10" s="21" t="s">
        <v>93</v>
      </c>
      <c r="F10" s="22" t="s">
        <v>216</v>
      </c>
      <c r="G10" s="23">
        <v>45908</v>
      </c>
    </row>
    <row r="11" spans="2:7">
      <c r="B11" s="151">
        <v>2</v>
      </c>
      <c r="C11" s="21" t="s">
        <v>438</v>
      </c>
      <c r="D11" s="22" t="s">
        <v>439</v>
      </c>
      <c r="E11" s="21" t="s">
        <v>93</v>
      </c>
      <c r="F11" s="22" t="s">
        <v>36</v>
      </c>
      <c r="G11" s="23">
        <v>45928</v>
      </c>
    </row>
    <row r="12" spans="2:7">
      <c r="B12" s="151">
        <v>2</v>
      </c>
      <c r="C12" s="21" t="s">
        <v>442</v>
      </c>
      <c r="D12" s="22" t="s">
        <v>443</v>
      </c>
      <c r="E12" s="21" t="s">
        <v>93</v>
      </c>
      <c r="F12" s="22" t="s">
        <v>36</v>
      </c>
      <c r="G12" s="23">
        <v>45941</v>
      </c>
    </row>
    <row r="13" spans="2:7">
      <c r="B13" s="151">
        <v>3</v>
      </c>
      <c r="C13" s="21" t="s">
        <v>268</v>
      </c>
      <c r="D13" s="22" t="s">
        <v>269</v>
      </c>
      <c r="E13" s="21" t="s">
        <v>40</v>
      </c>
      <c r="F13" s="22" t="s">
        <v>414</v>
      </c>
      <c r="G13" s="23">
        <v>45739</v>
      </c>
    </row>
    <row r="14" spans="2:7">
      <c r="B14" s="151">
        <v>3</v>
      </c>
      <c r="C14" s="21" t="s">
        <v>298</v>
      </c>
      <c r="D14" s="22" t="s">
        <v>299</v>
      </c>
      <c r="E14" s="21" t="s">
        <v>40</v>
      </c>
      <c r="F14" s="22" t="s">
        <v>216</v>
      </c>
      <c r="G14" s="23">
        <v>45815</v>
      </c>
    </row>
    <row r="15" spans="2:7">
      <c r="B15" s="151">
        <v>3</v>
      </c>
      <c r="C15" s="21" t="s">
        <v>301</v>
      </c>
      <c r="D15" s="22" t="s">
        <v>302</v>
      </c>
      <c r="E15" s="21" t="s">
        <v>40</v>
      </c>
      <c r="F15" s="22" t="s">
        <v>216</v>
      </c>
      <c r="G15" s="23">
        <v>45815</v>
      </c>
    </row>
    <row r="16" spans="2:7">
      <c r="B16" s="151">
        <v>3</v>
      </c>
      <c r="C16" s="21" t="s">
        <v>312</v>
      </c>
      <c r="D16" s="22" t="s">
        <v>313</v>
      </c>
      <c r="E16" s="21" t="s">
        <v>40</v>
      </c>
      <c r="F16" s="22" t="s">
        <v>36</v>
      </c>
      <c r="G16" s="23">
        <v>45906</v>
      </c>
    </row>
    <row r="17" spans="2:7">
      <c r="B17" s="151">
        <v>3</v>
      </c>
      <c r="C17" s="21" t="s">
        <v>319</v>
      </c>
      <c r="D17" s="22" t="s">
        <v>320</v>
      </c>
      <c r="E17" s="21" t="s">
        <v>40</v>
      </c>
      <c r="F17" s="22" t="s">
        <v>216</v>
      </c>
      <c r="G17" s="23">
        <v>45901</v>
      </c>
    </row>
    <row r="18" spans="2:7">
      <c r="B18" s="151">
        <v>3</v>
      </c>
      <c r="C18" s="21" t="s">
        <v>347</v>
      </c>
      <c r="D18" s="22" t="s">
        <v>348</v>
      </c>
      <c r="E18" s="21" t="s">
        <v>40</v>
      </c>
      <c r="F18" s="22" t="s">
        <v>216</v>
      </c>
      <c r="G18" s="23">
        <v>45840</v>
      </c>
    </row>
    <row r="19" spans="2:7">
      <c r="B19" s="151">
        <v>3</v>
      </c>
      <c r="C19" s="21" t="s">
        <v>368</v>
      </c>
      <c r="D19" s="22" t="s">
        <v>369</v>
      </c>
      <c r="E19" s="21" t="s">
        <v>40</v>
      </c>
      <c r="F19" s="22" t="s">
        <v>216</v>
      </c>
      <c r="G19" s="23">
        <v>45875</v>
      </c>
    </row>
    <row r="20" spans="2:7">
      <c r="B20" s="151">
        <v>3</v>
      </c>
      <c r="C20" s="21" t="s">
        <v>371</v>
      </c>
      <c r="D20" s="22" t="s">
        <v>372</v>
      </c>
      <c r="E20" s="21" t="s">
        <v>93</v>
      </c>
      <c r="F20" s="22" t="s">
        <v>217</v>
      </c>
      <c r="G20" s="23">
        <v>45822</v>
      </c>
    </row>
    <row r="21" spans="2:7">
      <c r="B21" s="151">
        <v>3</v>
      </c>
      <c r="C21" s="21" t="s">
        <v>406</v>
      </c>
      <c r="D21" s="22" t="s">
        <v>407</v>
      </c>
      <c r="E21" s="21" t="s">
        <v>40</v>
      </c>
      <c r="F21" s="22" t="s">
        <v>217</v>
      </c>
      <c r="G21" s="23">
        <v>45838</v>
      </c>
    </row>
    <row r="22" spans="2:7">
      <c r="B22" s="151">
        <v>4</v>
      </c>
      <c r="C22" s="44" t="s">
        <v>135</v>
      </c>
      <c r="D22" s="45" t="s">
        <v>136</v>
      </c>
      <c r="E22" s="44" t="s">
        <v>83</v>
      </c>
      <c r="F22" s="22" t="s">
        <v>203</v>
      </c>
      <c r="G22" s="35">
        <v>45922</v>
      </c>
    </row>
    <row r="23" spans="2:7">
      <c r="B23" s="151">
        <v>4</v>
      </c>
      <c r="C23" s="21" t="s">
        <v>326</v>
      </c>
      <c r="D23" s="22" t="s">
        <v>327</v>
      </c>
      <c r="E23" s="21" t="s">
        <v>83</v>
      </c>
      <c r="F23" s="22" t="s">
        <v>203</v>
      </c>
      <c r="G23" s="23">
        <v>45907</v>
      </c>
    </row>
    <row r="24" spans="2:7">
      <c r="B24" s="151">
        <v>4</v>
      </c>
      <c r="C24" s="21" t="s">
        <v>329</v>
      </c>
      <c r="D24" s="22" t="s">
        <v>330</v>
      </c>
      <c r="E24" s="21" t="s">
        <v>50</v>
      </c>
      <c r="F24" s="97" t="s">
        <v>51</v>
      </c>
      <c r="G24" s="23">
        <v>45752</v>
      </c>
    </row>
    <row r="25" spans="2:7">
      <c r="B25" s="151">
        <v>4</v>
      </c>
      <c r="C25" s="21" t="s">
        <v>340</v>
      </c>
      <c r="D25" s="22" t="s">
        <v>341</v>
      </c>
      <c r="E25" s="21" t="s">
        <v>83</v>
      </c>
      <c r="F25" s="22" t="s">
        <v>203</v>
      </c>
      <c r="G25" s="23">
        <v>45816</v>
      </c>
    </row>
    <row r="26" spans="2:7">
      <c r="B26" s="151">
        <v>4</v>
      </c>
      <c r="C26" s="21" t="s">
        <v>350</v>
      </c>
      <c r="D26" s="22" t="s">
        <v>351</v>
      </c>
      <c r="E26" s="21" t="s">
        <v>50</v>
      </c>
      <c r="F26" s="22" t="s">
        <v>51</v>
      </c>
      <c r="G26" s="23">
        <v>45765</v>
      </c>
    </row>
    <row r="27" spans="2:7">
      <c r="B27" s="151">
        <v>4</v>
      </c>
      <c r="C27" s="21" t="s">
        <v>373</v>
      </c>
      <c r="D27" s="22" t="s">
        <v>449</v>
      </c>
      <c r="E27" s="21" t="s">
        <v>83</v>
      </c>
      <c r="F27" s="22" t="s">
        <v>51</v>
      </c>
      <c r="G27" s="23">
        <v>45818</v>
      </c>
    </row>
    <row r="28" spans="2:7">
      <c r="B28" s="151">
        <v>4</v>
      </c>
      <c r="C28" s="21" t="s">
        <v>444</v>
      </c>
      <c r="D28" s="22" t="s">
        <v>445</v>
      </c>
      <c r="E28" s="21"/>
      <c r="F28" s="22" t="s">
        <v>203</v>
      </c>
      <c r="G28" s="21"/>
    </row>
    <row r="29" spans="2:7">
      <c r="B29" s="151">
        <v>5</v>
      </c>
      <c r="C29" s="21" t="s">
        <v>285</v>
      </c>
      <c r="D29" s="22" t="s">
        <v>287</v>
      </c>
      <c r="E29" s="21" t="s">
        <v>85</v>
      </c>
      <c r="F29" s="22" t="s">
        <v>235</v>
      </c>
      <c r="G29" s="23">
        <v>45859</v>
      </c>
    </row>
    <row r="30" spans="2:7">
      <c r="B30" s="151">
        <v>5</v>
      </c>
      <c r="C30" s="21" t="s">
        <v>321</v>
      </c>
      <c r="D30" s="22" t="s">
        <v>322</v>
      </c>
      <c r="E30" s="21" t="s">
        <v>85</v>
      </c>
      <c r="F30" s="22" t="s">
        <v>235</v>
      </c>
      <c r="G30" s="23">
        <v>45868</v>
      </c>
    </row>
    <row r="31" spans="2:7">
      <c r="B31" s="151">
        <v>5</v>
      </c>
      <c r="C31" s="21" t="s">
        <v>324</v>
      </c>
      <c r="D31" s="22" t="s">
        <v>325</v>
      </c>
      <c r="E31" s="21" t="s">
        <v>85</v>
      </c>
      <c r="F31" s="22" t="s">
        <v>235</v>
      </c>
      <c r="G31" s="23"/>
    </row>
    <row r="32" spans="2:7">
      <c r="B32" s="151">
        <v>5</v>
      </c>
      <c r="C32" s="21" t="s">
        <v>363</v>
      </c>
      <c r="D32" s="22" t="s">
        <v>364</v>
      </c>
      <c r="E32" s="21" t="s">
        <v>53</v>
      </c>
      <c r="F32" s="22" t="s">
        <v>54</v>
      </c>
      <c r="G32" s="23">
        <v>45895</v>
      </c>
    </row>
    <row r="33" spans="2:7">
      <c r="B33" s="151">
        <v>6</v>
      </c>
      <c r="C33" s="21" t="s">
        <v>98</v>
      </c>
      <c r="D33" s="22" t="s">
        <v>99</v>
      </c>
      <c r="E33" s="21" t="s">
        <v>102</v>
      </c>
      <c r="F33" s="22" t="s">
        <v>103</v>
      </c>
      <c r="G33" s="23">
        <v>45752</v>
      </c>
    </row>
    <row r="34" spans="2:7">
      <c r="B34" s="151">
        <v>6</v>
      </c>
      <c r="C34" s="37" t="s">
        <v>146</v>
      </c>
      <c r="D34" s="143" t="s">
        <v>147</v>
      </c>
      <c r="E34" s="37" t="s">
        <v>85</v>
      </c>
      <c r="F34" s="143" t="s">
        <v>103</v>
      </c>
      <c r="G34" s="23">
        <v>45945</v>
      </c>
    </row>
    <row r="35" spans="2:7">
      <c r="B35" s="151">
        <v>6</v>
      </c>
      <c r="C35" s="44" t="s">
        <v>192</v>
      </c>
      <c r="D35" s="45" t="s">
        <v>193</v>
      </c>
      <c r="E35" s="44" t="s">
        <v>102</v>
      </c>
      <c r="F35" s="45" t="s">
        <v>103</v>
      </c>
      <c r="G35" s="35">
        <v>45811</v>
      </c>
    </row>
    <row r="36" spans="2:7">
      <c r="B36" s="151">
        <v>6</v>
      </c>
      <c r="C36" s="21" t="s">
        <v>290</v>
      </c>
      <c r="D36" s="22" t="s">
        <v>291</v>
      </c>
      <c r="E36" s="21" t="s">
        <v>102</v>
      </c>
      <c r="F36" s="22" t="s">
        <v>103</v>
      </c>
      <c r="G36" s="23">
        <v>45871</v>
      </c>
    </row>
    <row r="37" spans="2:7">
      <c r="B37" s="151">
        <v>6</v>
      </c>
      <c r="C37" s="21" t="s">
        <v>357</v>
      </c>
      <c r="D37" s="150" t="s">
        <v>359</v>
      </c>
      <c r="E37" s="21" t="s">
        <v>55</v>
      </c>
      <c r="F37" s="22" t="s">
        <v>56</v>
      </c>
      <c r="G37" s="23"/>
    </row>
    <row r="38" spans="2:7">
      <c r="B38" s="151">
        <v>7</v>
      </c>
      <c r="C38" s="21" t="s">
        <v>450</v>
      </c>
      <c r="D38" s="22" t="s">
        <v>451</v>
      </c>
      <c r="E38" s="21" t="s">
        <v>64</v>
      </c>
      <c r="F38" s="22" t="s">
        <v>66</v>
      </c>
      <c r="G38" s="23"/>
    </row>
    <row r="39" spans="2:7">
      <c r="B39" s="151">
        <v>7</v>
      </c>
      <c r="C39" s="21" t="s">
        <v>48</v>
      </c>
      <c r="D39" s="22" t="s">
        <v>49</v>
      </c>
      <c r="E39" s="21" t="s">
        <v>64</v>
      </c>
      <c r="F39" s="22" t="s">
        <v>66</v>
      </c>
      <c r="G39" s="23">
        <v>45632</v>
      </c>
    </row>
  </sheetData>
  <sortState xmlns:xlrd2="http://schemas.microsoft.com/office/spreadsheetml/2017/richdata2" ref="B3:G39">
    <sortCondition ref="B3:B39"/>
    <sortCondition ref="C3:C39"/>
  </sortState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C20F7-E98C-4839-BF99-534AF833E18C}">
  <dimension ref="D3:I39"/>
  <sheetViews>
    <sheetView topLeftCell="A4" workbookViewId="0">
      <selection activeCell="D4" sqref="D4"/>
    </sheetView>
  </sheetViews>
  <sheetFormatPr defaultRowHeight="15"/>
  <cols>
    <col min="4" max="4" width="27.42578125" customWidth="1"/>
    <col min="5" max="5" width="14.5703125" bestFit="1" customWidth="1"/>
    <col min="6" max="6" width="9.7109375" bestFit="1" customWidth="1"/>
    <col min="7" max="7" width="19.140625" bestFit="1" customWidth="1"/>
    <col min="8" max="8" width="43.5703125" bestFit="1" customWidth="1"/>
    <col min="9" max="9" width="15.28515625" bestFit="1" customWidth="1"/>
  </cols>
  <sheetData>
    <row r="3" spans="4:9">
      <c r="D3" t="s">
        <v>452</v>
      </c>
    </row>
    <row r="4" spans="4:9" ht="18">
      <c r="D4" s="144" t="s">
        <v>453</v>
      </c>
      <c r="I4">
        <f>SUM(I6:I70)</f>
        <v>99000</v>
      </c>
    </row>
    <row r="5" spans="4:9">
      <c r="D5" s="60" t="s">
        <v>4</v>
      </c>
      <c r="E5" s="60" t="s">
        <v>454</v>
      </c>
      <c r="F5" s="60" t="s">
        <v>455</v>
      </c>
      <c r="G5" s="60" t="s">
        <v>456</v>
      </c>
      <c r="H5" s="60" t="s">
        <v>457</v>
      </c>
      <c r="I5" s="60" t="s">
        <v>458</v>
      </c>
    </row>
    <row r="6" spans="4:9">
      <c r="D6" t="s">
        <v>459</v>
      </c>
      <c r="E6" t="s">
        <v>460</v>
      </c>
      <c r="F6" s="145">
        <v>46015</v>
      </c>
      <c r="G6" t="s">
        <v>461</v>
      </c>
      <c r="H6" t="s">
        <v>462</v>
      </c>
      <c r="I6">
        <v>1600</v>
      </c>
    </row>
    <row r="7" spans="4:9">
      <c r="D7" t="s">
        <v>167</v>
      </c>
      <c r="E7" t="s">
        <v>463</v>
      </c>
      <c r="F7" s="134">
        <v>45816</v>
      </c>
      <c r="G7" t="s">
        <v>464</v>
      </c>
      <c r="H7" t="s">
        <v>461</v>
      </c>
      <c r="I7">
        <v>5200</v>
      </c>
    </row>
    <row r="8" spans="4:9">
      <c r="D8" t="s">
        <v>105</v>
      </c>
      <c r="E8" t="s">
        <v>109</v>
      </c>
      <c r="F8" s="134">
        <v>45833</v>
      </c>
      <c r="G8" t="s">
        <v>465</v>
      </c>
      <c r="H8" t="s">
        <v>466</v>
      </c>
      <c r="I8" t="s">
        <v>461</v>
      </c>
    </row>
    <row r="9" spans="4:9">
      <c r="D9" t="s">
        <v>147</v>
      </c>
      <c r="E9" t="s">
        <v>163</v>
      </c>
      <c r="F9" t="s">
        <v>461</v>
      </c>
      <c r="G9" t="s">
        <v>461</v>
      </c>
      <c r="H9" t="s">
        <v>467</v>
      </c>
      <c r="I9" t="s">
        <v>461</v>
      </c>
    </row>
    <row r="10" spans="4:9">
      <c r="D10" t="s">
        <v>157</v>
      </c>
      <c r="E10" t="s">
        <v>235</v>
      </c>
      <c r="F10" s="134">
        <v>45884</v>
      </c>
      <c r="G10" t="s">
        <v>461</v>
      </c>
      <c r="H10" t="s">
        <v>468</v>
      </c>
      <c r="I10">
        <v>2600</v>
      </c>
    </row>
    <row r="11" spans="4:9">
      <c r="D11" t="s">
        <v>161</v>
      </c>
      <c r="E11" t="s">
        <v>109</v>
      </c>
      <c r="F11" s="134">
        <v>45712</v>
      </c>
      <c r="G11" t="s">
        <v>464</v>
      </c>
      <c r="H11" t="s">
        <v>461</v>
      </c>
      <c r="I11">
        <v>5200</v>
      </c>
    </row>
    <row r="12" spans="4:9">
      <c r="D12" t="s">
        <v>173</v>
      </c>
      <c r="E12" t="s">
        <v>109</v>
      </c>
      <c r="F12" s="134">
        <v>45712</v>
      </c>
      <c r="G12" t="s">
        <v>464</v>
      </c>
      <c r="H12" t="s">
        <v>461</v>
      </c>
      <c r="I12">
        <v>5200</v>
      </c>
    </row>
    <row r="13" spans="4:9">
      <c r="D13" t="s">
        <v>179</v>
      </c>
      <c r="E13" t="s">
        <v>163</v>
      </c>
      <c r="F13" s="134">
        <v>45712</v>
      </c>
      <c r="G13" t="s">
        <v>464</v>
      </c>
      <c r="H13" t="s">
        <v>461</v>
      </c>
      <c r="I13">
        <v>5200</v>
      </c>
    </row>
    <row r="14" spans="4:9">
      <c r="D14" t="s">
        <v>193</v>
      </c>
      <c r="E14" t="s">
        <v>163</v>
      </c>
      <c r="F14" s="134">
        <v>45811</v>
      </c>
      <c r="G14" t="s">
        <v>461</v>
      </c>
      <c r="H14" t="s">
        <v>462</v>
      </c>
      <c r="I14">
        <v>1600</v>
      </c>
    </row>
    <row r="15" spans="4:9">
      <c r="D15" t="s">
        <v>201</v>
      </c>
      <c r="E15" t="s">
        <v>203</v>
      </c>
      <c r="F15" s="134">
        <v>45579</v>
      </c>
      <c r="G15" t="s">
        <v>461</v>
      </c>
      <c r="H15" t="s">
        <v>469</v>
      </c>
      <c r="I15">
        <v>3400</v>
      </c>
    </row>
    <row r="16" spans="4:9">
      <c r="D16" t="s">
        <v>470</v>
      </c>
      <c r="E16" t="s">
        <v>471</v>
      </c>
      <c r="F16" s="134">
        <v>45812</v>
      </c>
      <c r="G16" t="s">
        <v>464</v>
      </c>
      <c r="H16" t="s">
        <v>461</v>
      </c>
      <c r="I16">
        <v>5200</v>
      </c>
    </row>
    <row r="17" spans="4:9">
      <c r="D17" t="s">
        <v>223</v>
      </c>
      <c r="E17" t="s">
        <v>461</v>
      </c>
      <c r="F17" t="s">
        <v>461</v>
      </c>
      <c r="G17" t="s">
        <v>472</v>
      </c>
      <c r="H17" t="s">
        <v>473</v>
      </c>
      <c r="I17">
        <v>2800</v>
      </c>
    </row>
    <row r="18" spans="4:9">
      <c r="D18" t="s">
        <v>229</v>
      </c>
      <c r="E18" t="s">
        <v>203</v>
      </c>
      <c r="F18" t="s">
        <v>461</v>
      </c>
      <c r="G18" t="s">
        <v>474</v>
      </c>
      <c r="H18" t="s">
        <v>475</v>
      </c>
      <c r="I18">
        <v>3200</v>
      </c>
    </row>
    <row r="19" spans="4:9">
      <c r="D19" t="s">
        <v>476</v>
      </c>
      <c r="E19" t="s">
        <v>235</v>
      </c>
      <c r="F19" s="134">
        <v>45812</v>
      </c>
      <c r="G19" t="s">
        <v>461</v>
      </c>
      <c r="H19" t="s">
        <v>477</v>
      </c>
      <c r="I19">
        <v>1600</v>
      </c>
    </row>
    <row r="20" spans="4:9">
      <c r="D20" t="s">
        <v>238</v>
      </c>
      <c r="E20" t="s">
        <v>478</v>
      </c>
      <c r="F20" s="134">
        <v>45941</v>
      </c>
      <c r="G20" t="s">
        <v>461</v>
      </c>
      <c r="H20" t="s">
        <v>475</v>
      </c>
      <c r="I20">
        <v>3200</v>
      </c>
    </row>
    <row r="21" spans="4:9">
      <c r="D21" t="s">
        <v>250</v>
      </c>
      <c r="E21" t="s">
        <v>235</v>
      </c>
      <c r="F21" s="134">
        <v>45691</v>
      </c>
      <c r="G21" t="s">
        <v>479</v>
      </c>
      <c r="H21" t="s">
        <v>475</v>
      </c>
      <c r="I21">
        <v>3200</v>
      </c>
    </row>
    <row r="22" spans="4:9">
      <c r="D22" t="s">
        <v>255</v>
      </c>
      <c r="E22" t="s">
        <v>461</v>
      </c>
      <c r="F22" t="s">
        <v>461</v>
      </c>
      <c r="G22" t="s">
        <v>461</v>
      </c>
      <c r="H22" t="s">
        <v>480</v>
      </c>
      <c r="I22" t="s">
        <v>461</v>
      </c>
    </row>
    <row r="23" spans="4:9">
      <c r="D23" t="s">
        <v>263</v>
      </c>
      <c r="E23" t="s">
        <v>217</v>
      </c>
      <c r="F23" s="134">
        <v>45693</v>
      </c>
      <c r="G23" t="s">
        <v>461</v>
      </c>
      <c r="H23" t="s">
        <v>481</v>
      </c>
      <c r="I23">
        <v>5200</v>
      </c>
    </row>
    <row r="24" spans="4:9">
      <c r="D24" t="s">
        <v>269</v>
      </c>
      <c r="E24" t="s">
        <v>217</v>
      </c>
      <c r="F24" s="134">
        <v>45739</v>
      </c>
      <c r="G24" t="s">
        <v>482</v>
      </c>
      <c r="H24" t="s">
        <v>483</v>
      </c>
      <c r="I24">
        <v>4000</v>
      </c>
    </row>
    <row r="25" spans="4:9">
      <c r="D25" t="s">
        <v>484</v>
      </c>
      <c r="E25" t="s">
        <v>461</v>
      </c>
      <c r="F25" t="s">
        <v>461</v>
      </c>
      <c r="G25" t="s">
        <v>461</v>
      </c>
      <c r="H25" t="s">
        <v>485</v>
      </c>
      <c r="I25">
        <v>2800</v>
      </c>
    </row>
    <row r="26" spans="4:9">
      <c r="D26" t="s">
        <v>283</v>
      </c>
      <c r="E26" t="s">
        <v>217</v>
      </c>
      <c r="F26" s="134">
        <v>45627</v>
      </c>
      <c r="G26" t="s">
        <v>486</v>
      </c>
      <c r="H26" t="s">
        <v>487</v>
      </c>
      <c r="I26" t="s">
        <v>461</v>
      </c>
    </row>
    <row r="27" spans="4:9">
      <c r="D27" t="s">
        <v>488</v>
      </c>
      <c r="E27" t="s">
        <v>235</v>
      </c>
      <c r="F27" s="134">
        <v>45859</v>
      </c>
      <c r="G27" t="s">
        <v>461</v>
      </c>
      <c r="H27" t="s">
        <v>489</v>
      </c>
      <c r="I27">
        <v>5200</v>
      </c>
    </row>
    <row r="28" spans="4:9">
      <c r="D28" t="s">
        <v>490</v>
      </c>
      <c r="E28" t="s">
        <v>163</v>
      </c>
      <c r="F28" s="134">
        <v>45871</v>
      </c>
      <c r="G28" t="s">
        <v>461</v>
      </c>
      <c r="H28" t="s">
        <v>491</v>
      </c>
      <c r="I28">
        <v>4000</v>
      </c>
    </row>
    <row r="29" spans="4:9">
      <c r="D29" t="s">
        <v>492</v>
      </c>
      <c r="E29" t="s">
        <v>461</v>
      </c>
      <c r="F29" s="134">
        <v>45780</v>
      </c>
      <c r="G29" t="s">
        <v>461</v>
      </c>
      <c r="H29" t="s">
        <v>493</v>
      </c>
      <c r="I29" t="s">
        <v>461</v>
      </c>
    </row>
    <row r="30" spans="4:9">
      <c r="D30" t="s">
        <v>494</v>
      </c>
      <c r="E30" t="s">
        <v>461</v>
      </c>
      <c r="F30" t="s">
        <v>461</v>
      </c>
      <c r="G30" t="s">
        <v>461</v>
      </c>
      <c r="H30" t="s">
        <v>480</v>
      </c>
      <c r="I30" t="s">
        <v>461</v>
      </c>
    </row>
    <row r="31" spans="4:9">
      <c r="D31" t="s">
        <v>313</v>
      </c>
      <c r="E31" t="s">
        <v>495</v>
      </c>
      <c r="F31" s="134">
        <v>45823</v>
      </c>
      <c r="G31" t="s">
        <v>461</v>
      </c>
      <c r="H31" t="s">
        <v>496</v>
      </c>
      <c r="I31">
        <v>3600</v>
      </c>
    </row>
    <row r="32" spans="4:9">
      <c r="D32" t="s">
        <v>318</v>
      </c>
      <c r="E32" t="s">
        <v>203</v>
      </c>
      <c r="F32" s="134">
        <v>45589</v>
      </c>
      <c r="G32" t="s">
        <v>461</v>
      </c>
      <c r="H32" t="s">
        <v>497</v>
      </c>
      <c r="I32">
        <v>2800</v>
      </c>
    </row>
    <row r="33" spans="4:9">
      <c r="D33" t="s">
        <v>498</v>
      </c>
      <c r="E33" t="s">
        <v>235</v>
      </c>
      <c r="F33" s="134">
        <v>45868</v>
      </c>
      <c r="G33" t="s">
        <v>461</v>
      </c>
      <c r="H33" t="s">
        <v>499</v>
      </c>
      <c r="I33">
        <v>3600</v>
      </c>
    </row>
    <row r="34" spans="4:9">
      <c r="D34" t="s">
        <v>325</v>
      </c>
      <c r="E34" t="s">
        <v>500</v>
      </c>
      <c r="F34" t="s">
        <v>461</v>
      </c>
      <c r="G34" t="s">
        <v>461</v>
      </c>
      <c r="H34" t="s">
        <v>501</v>
      </c>
      <c r="I34">
        <v>7600</v>
      </c>
    </row>
    <row r="35" spans="4:9">
      <c r="D35" t="s">
        <v>502</v>
      </c>
      <c r="E35" t="s">
        <v>203</v>
      </c>
      <c r="F35" s="134">
        <v>45907</v>
      </c>
      <c r="G35" t="s">
        <v>461</v>
      </c>
      <c r="H35" t="s">
        <v>491</v>
      </c>
      <c r="I35">
        <v>4000</v>
      </c>
    </row>
    <row r="36" spans="4:9">
      <c r="D36" t="s">
        <v>330</v>
      </c>
      <c r="E36" t="s">
        <v>397</v>
      </c>
      <c r="F36" t="s">
        <v>461</v>
      </c>
      <c r="G36" t="s">
        <v>461</v>
      </c>
      <c r="H36" t="s">
        <v>462</v>
      </c>
      <c r="I36">
        <v>1600</v>
      </c>
    </row>
    <row r="37" spans="4:9">
      <c r="D37" t="s">
        <v>339</v>
      </c>
      <c r="E37" t="s">
        <v>217</v>
      </c>
      <c r="F37" s="134">
        <v>45750</v>
      </c>
      <c r="G37" t="s">
        <v>461</v>
      </c>
      <c r="H37" t="s">
        <v>503</v>
      </c>
      <c r="I37">
        <v>1800</v>
      </c>
    </row>
    <row r="38" spans="4:9">
      <c r="D38" t="s">
        <v>341</v>
      </c>
      <c r="E38" t="s">
        <v>203</v>
      </c>
      <c r="F38" t="s">
        <v>461</v>
      </c>
      <c r="G38" t="s">
        <v>461</v>
      </c>
      <c r="H38" t="s">
        <v>499</v>
      </c>
      <c r="I38">
        <v>3600</v>
      </c>
    </row>
    <row r="39" spans="4:9">
      <c r="D39" t="s">
        <v>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E7B5-BB87-4ADC-BD86-29A5F970ABB1}">
  <dimension ref="C2:W20"/>
  <sheetViews>
    <sheetView topLeftCell="D1" workbookViewId="0">
      <selection activeCell="G3" sqref="G3"/>
    </sheetView>
  </sheetViews>
  <sheetFormatPr defaultRowHeight="15"/>
  <cols>
    <col min="4" max="4" width="14.140625" bestFit="1" customWidth="1"/>
  </cols>
  <sheetData>
    <row r="2" spans="3:23" ht="27.75">
      <c r="C2" s="11" t="s">
        <v>2</v>
      </c>
      <c r="D2" s="11" t="s">
        <v>8</v>
      </c>
      <c r="E2" t="s">
        <v>505</v>
      </c>
      <c r="F2" s="9"/>
      <c r="G2" s="19" t="s">
        <v>36</v>
      </c>
      <c r="H2" s="19" t="s">
        <v>94</v>
      </c>
      <c r="I2" s="19" t="s">
        <v>41</v>
      </c>
      <c r="J2" s="19" t="s">
        <v>84</v>
      </c>
      <c r="K2" s="19" t="s">
        <v>86</v>
      </c>
      <c r="L2" s="19" t="s">
        <v>103</v>
      </c>
      <c r="M2" s="19" t="s">
        <v>51</v>
      </c>
      <c r="N2" s="19" t="s">
        <v>54</v>
      </c>
      <c r="O2" s="19" t="s">
        <v>56</v>
      </c>
      <c r="P2" s="19" t="s">
        <v>58</v>
      </c>
      <c r="Q2" s="19" t="s">
        <v>60</v>
      </c>
      <c r="R2" s="19" t="s">
        <v>76</v>
      </c>
      <c r="S2" s="19" t="s">
        <v>79</v>
      </c>
      <c r="T2" s="19" t="s">
        <v>506</v>
      </c>
      <c r="U2" s="9"/>
      <c r="V2" s="9"/>
      <c r="W2" s="9"/>
    </row>
    <row r="3" spans="3:23">
      <c r="C3" t="s">
        <v>34</v>
      </c>
      <c r="D3" s="9" t="s">
        <v>36</v>
      </c>
      <c r="E3" t="s">
        <v>34</v>
      </c>
      <c r="G3" s="20">
        <v>5</v>
      </c>
      <c r="H3" s="20">
        <v>7</v>
      </c>
      <c r="I3" s="20">
        <v>24</v>
      </c>
      <c r="J3" s="20">
        <v>13</v>
      </c>
      <c r="K3" s="20">
        <v>6</v>
      </c>
      <c r="L3" s="20">
        <v>2</v>
      </c>
      <c r="M3" s="20">
        <v>8</v>
      </c>
      <c r="N3" s="20">
        <v>3</v>
      </c>
      <c r="O3" s="20">
        <v>2</v>
      </c>
      <c r="P3" s="20">
        <v>1</v>
      </c>
      <c r="Q3" s="20">
        <v>1</v>
      </c>
      <c r="R3" s="20">
        <v>2</v>
      </c>
      <c r="S3" s="20">
        <v>1</v>
      </c>
      <c r="T3" s="20">
        <v>75</v>
      </c>
    </row>
    <row r="4" spans="3:23">
      <c r="C4" t="s">
        <v>93</v>
      </c>
      <c r="D4" s="9" t="s">
        <v>94</v>
      </c>
      <c r="E4" t="s">
        <v>93</v>
      </c>
    </row>
    <row r="5" spans="3:23">
      <c r="C5" t="s">
        <v>40</v>
      </c>
      <c r="D5" s="9" t="s">
        <v>41</v>
      </c>
      <c r="E5" t="s">
        <v>40</v>
      </c>
    </row>
    <row r="6" spans="3:23">
      <c r="C6" t="s">
        <v>83</v>
      </c>
      <c r="D6" s="9" t="s">
        <v>84</v>
      </c>
      <c r="E6" t="s">
        <v>83</v>
      </c>
    </row>
    <row r="7" spans="3:23">
      <c r="C7" t="s">
        <v>85</v>
      </c>
      <c r="D7" s="9" t="s">
        <v>86</v>
      </c>
      <c r="E7" t="s">
        <v>85</v>
      </c>
    </row>
    <row r="8" spans="3:23">
      <c r="C8" t="s">
        <v>102</v>
      </c>
      <c r="D8" s="9" t="s">
        <v>103</v>
      </c>
      <c r="E8" t="s">
        <v>102</v>
      </c>
    </row>
    <row r="9" spans="3:23">
      <c r="C9" t="s">
        <v>108</v>
      </c>
      <c r="D9" s="9" t="s">
        <v>165</v>
      </c>
      <c r="E9" t="s">
        <v>108</v>
      </c>
    </row>
    <row r="10" spans="3:23">
      <c r="C10" t="s">
        <v>50</v>
      </c>
      <c r="D10" s="9" t="s">
        <v>51</v>
      </c>
      <c r="E10" t="s">
        <v>50</v>
      </c>
    </row>
    <row r="11" spans="3:23">
      <c r="C11" t="s">
        <v>53</v>
      </c>
      <c r="D11" s="9" t="s">
        <v>54</v>
      </c>
      <c r="E11" t="s">
        <v>53</v>
      </c>
    </row>
    <row r="12" spans="3:23">
      <c r="C12" t="s">
        <v>55</v>
      </c>
      <c r="D12" s="9" t="s">
        <v>56</v>
      </c>
      <c r="E12" t="s">
        <v>55</v>
      </c>
    </row>
    <row r="13" spans="3:23">
      <c r="C13" t="s">
        <v>57</v>
      </c>
      <c r="D13" s="9" t="s">
        <v>58</v>
      </c>
      <c r="E13" t="s">
        <v>57</v>
      </c>
    </row>
    <row r="14" spans="3:23">
      <c r="C14" t="s">
        <v>59</v>
      </c>
      <c r="D14" s="9" t="s">
        <v>60</v>
      </c>
      <c r="E14" t="s">
        <v>59</v>
      </c>
    </row>
    <row r="15" spans="3:23">
      <c r="C15" t="s">
        <v>64</v>
      </c>
      <c r="D15" s="9" t="s">
        <v>66</v>
      </c>
      <c r="E15" t="s">
        <v>64</v>
      </c>
    </row>
    <row r="16" spans="3:23">
      <c r="C16" t="s">
        <v>507</v>
      </c>
      <c r="D16" s="9" t="s">
        <v>508</v>
      </c>
      <c r="E16" t="s">
        <v>507</v>
      </c>
    </row>
    <row r="17" spans="3:5">
      <c r="C17" t="s">
        <v>509</v>
      </c>
      <c r="D17" s="9" t="s">
        <v>510</v>
      </c>
      <c r="E17" t="s">
        <v>509</v>
      </c>
    </row>
    <row r="18" spans="3:5">
      <c r="C18" t="s">
        <v>75</v>
      </c>
      <c r="D18" s="9" t="s">
        <v>76</v>
      </c>
      <c r="E18" t="s">
        <v>75</v>
      </c>
    </row>
    <row r="19" spans="3:5">
      <c r="C19" t="s">
        <v>78</v>
      </c>
      <c r="D19" s="9" t="s">
        <v>79</v>
      </c>
      <c r="E19" t="s">
        <v>78</v>
      </c>
    </row>
    <row r="20" spans="3:5">
      <c r="C20" t="s">
        <v>511</v>
      </c>
      <c r="D20" s="9" t="s">
        <v>512</v>
      </c>
      <c r="E20" t="s">
        <v>511</v>
      </c>
    </row>
  </sheetData>
  <sortState xmlns:xlrd2="http://schemas.microsoft.com/office/spreadsheetml/2017/richdata2" ref="C3:D18">
    <sortCondition ref="C3:C18"/>
  </sortState>
  <conditionalFormatting sqref="G3:T3">
    <cfRule type="cellIs" dxfId="4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0BAE-7F58-42E1-9CD5-9A04A0D0CC6E}">
  <dimension ref="B2:I41"/>
  <sheetViews>
    <sheetView workbookViewId="0">
      <selection activeCell="D5" sqref="D5"/>
    </sheetView>
  </sheetViews>
  <sheetFormatPr defaultRowHeight="15"/>
  <cols>
    <col min="3" max="4" width="17" bestFit="1" customWidth="1"/>
    <col min="5" max="5" width="16.42578125" bestFit="1" customWidth="1"/>
    <col min="6" max="6" width="13.7109375" customWidth="1"/>
    <col min="7" max="7" width="12" customWidth="1"/>
  </cols>
  <sheetData>
    <row r="2" spans="2:9" s="3" customFormat="1" ht="41.25">
      <c r="B2" s="8" t="s">
        <v>513</v>
      </c>
      <c r="C2" s="8" t="s">
        <v>4</v>
      </c>
      <c r="D2" s="8" t="s">
        <v>514</v>
      </c>
      <c r="E2" s="8" t="s">
        <v>515</v>
      </c>
      <c r="F2" s="8" t="s">
        <v>516</v>
      </c>
      <c r="G2" s="8" t="s">
        <v>517</v>
      </c>
      <c r="H2" s="8" t="s">
        <v>518</v>
      </c>
      <c r="I2" s="8" t="s">
        <v>513</v>
      </c>
    </row>
    <row r="3" spans="2:9">
      <c r="B3" t="s">
        <v>32</v>
      </c>
      <c r="C3" t="s">
        <v>33</v>
      </c>
      <c r="D3" s="5">
        <v>44841</v>
      </c>
      <c r="E3">
        <v>0</v>
      </c>
      <c r="F3" t="s">
        <v>46</v>
      </c>
      <c r="G3" s="7">
        <v>2</v>
      </c>
      <c r="H3" t="s">
        <v>519</v>
      </c>
      <c r="I3" t="s">
        <v>32</v>
      </c>
    </row>
    <row r="4" spans="2:9">
      <c r="B4" t="s">
        <v>43</v>
      </c>
      <c r="C4" t="s">
        <v>44</v>
      </c>
      <c r="D4" s="5">
        <v>44841</v>
      </c>
      <c r="E4">
        <v>6100</v>
      </c>
      <c r="F4" t="s">
        <v>46</v>
      </c>
      <c r="G4" s="7">
        <v>2</v>
      </c>
      <c r="H4" t="s">
        <v>519</v>
      </c>
      <c r="I4" t="s">
        <v>43</v>
      </c>
    </row>
    <row r="5" spans="2:9">
      <c r="B5" t="s">
        <v>48</v>
      </c>
      <c r="C5" t="s">
        <v>49</v>
      </c>
      <c r="D5" s="5">
        <v>44870</v>
      </c>
      <c r="E5">
        <v>14400</v>
      </c>
      <c r="F5" t="s">
        <v>46</v>
      </c>
      <c r="G5" s="7">
        <v>4</v>
      </c>
      <c r="H5" t="s">
        <v>520</v>
      </c>
      <c r="I5" t="s">
        <v>48</v>
      </c>
    </row>
    <row r="6" spans="2:9">
      <c r="B6" t="s">
        <v>70</v>
      </c>
      <c r="C6" t="s">
        <v>71</v>
      </c>
      <c r="D6" s="5">
        <v>44870</v>
      </c>
      <c r="E6">
        <v>10800</v>
      </c>
      <c r="F6" t="s">
        <v>46</v>
      </c>
      <c r="G6" s="7">
        <v>3</v>
      </c>
      <c r="H6" t="s">
        <v>519</v>
      </c>
      <c r="I6" t="s">
        <v>70</v>
      </c>
    </row>
    <row r="7" spans="2:9">
      <c r="B7" t="s">
        <v>73</v>
      </c>
      <c r="C7" t="s">
        <v>74</v>
      </c>
      <c r="D7" s="5">
        <v>44889</v>
      </c>
      <c r="E7">
        <v>7200</v>
      </c>
      <c r="F7" t="s">
        <v>46</v>
      </c>
      <c r="G7" s="7">
        <v>2</v>
      </c>
      <c r="H7" t="s">
        <v>519</v>
      </c>
      <c r="I7" t="s">
        <v>73</v>
      </c>
    </row>
    <row r="8" spans="2:9">
      <c r="B8" t="s">
        <v>80</v>
      </c>
      <c r="C8" t="s">
        <v>81</v>
      </c>
      <c r="D8" s="5">
        <v>44892</v>
      </c>
      <c r="E8">
        <v>10800</v>
      </c>
      <c r="F8" t="s">
        <v>46</v>
      </c>
      <c r="G8" s="7">
        <v>3</v>
      </c>
      <c r="H8" t="s">
        <v>519</v>
      </c>
      <c r="I8" t="s">
        <v>80</v>
      </c>
    </row>
    <row r="9" spans="2:9">
      <c r="B9" t="s">
        <v>88</v>
      </c>
      <c r="C9" t="s">
        <v>89</v>
      </c>
      <c r="D9" s="5">
        <v>44960</v>
      </c>
      <c r="E9">
        <v>10800</v>
      </c>
      <c r="F9" t="s">
        <v>46</v>
      </c>
      <c r="G9" s="7">
        <v>2</v>
      </c>
      <c r="H9" t="s">
        <v>520</v>
      </c>
      <c r="I9" t="s">
        <v>88</v>
      </c>
    </row>
    <row r="10" spans="2:9">
      <c r="B10" t="s">
        <v>91</v>
      </c>
      <c r="C10" t="s">
        <v>92</v>
      </c>
      <c r="D10" s="5">
        <v>44960</v>
      </c>
      <c r="E10">
        <v>9600</v>
      </c>
      <c r="F10" t="s">
        <v>46</v>
      </c>
      <c r="G10" s="7">
        <v>2</v>
      </c>
      <c r="H10" t="s">
        <v>520</v>
      </c>
      <c r="I10" t="s">
        <v>91</v>
      </c>
    </row>
    <row r="11" spans="2:9">
      <c r="B11" t="s">
        <v>95</v>
      </c>
      <c r="C11" t="s">
        <v>96</v>
      </c>
      <c r="D11" s="5">
        <v>45002</v>
      </c>
      <c r="E11">
        <v>7200</v>
      </c>
      <c r="F11" t="s">
        <v>46</v>
      </c>
      <c r="G11" s="7">
        <v>2</v>
      </c>
      <c r="H11" t="s">
        <v>519</v>
      </c>
      <c r="I11" t="s">
        <v>95</v>
      </c>
    </row>
    <row r="12" spans="2:9">
      <c r="B12" t="s">
        <v>98</v>
      </c>
      <c r="C12" t="s">
        <v>99</v>
      </c>
      <c r="D12" s="5">
        <v>45018</v>
      </c>
      <c r="E12">
        <v>10800</v>
      </c>
      <c r="F12" t="s">
        <v>46</v>
      </c>
      <c r="G12" s="7">
        <v>2</v>
      </c>
      <c r="H12" t="s">
        <v>520</v>
      </c>
      <c r="I12" t="s">
        <v>98</v>
      </c>
    </row>
    <row r="13" spans="2:9">
      <c r="B13" t="s">
        <v>104</v>
      </c>
      <c r="C13" t="s">
        <v>105</v>
      </c>
      <c r="D13" s="5">
        <v>45020</v>
      </c>
      <c r="E13">
        <v>17400</v>
      </c>
      <c r="F13" t="s">
        <v>46</v>
      </c>
      <c r="G13" s="7">
        <v>3</v>
      </c>
      <c r="H13" t="s">
        <v>520</v>
      </c>
      <c r="I13" t="s">
        <v>104</v>
      </c>
    </row>
    <row r="14" spans="2:9">
      <c r="B14" t="s">
        <v>112</v>
      </c>
      <c r="C14" t="s">
        <v>113</v>
      </c>
      <c r="D14" s="5">
        <v>45026</v>
      </c>
      <c r="E14">
        <v>7200</v>
      </c>
      <c r="F14" t="s">
        <v>46</v>
      </c>
      <c r="G14" s="7">
        <v>1</v>
      </c>
      <c r="H14" t="s">
        <v>520</v>
      </c>
      <c r="I14" t="s">
        <v>112</v>
      </c>
    </row>
    <row r="15" spans="2:9">
      <c r="B15" t="s">
        <v>115</v>
      </c>
      <c r="C15" t="s">
        <v>116</v>
      </c>
      <c r="D15" s="5">
        <v>45027</v>
      </c>
      <c r="E15">
        <v>5000</v>
      </c>
      <c r="F15" t="s">
        <v>107</v>
      </c>
      <c r="G15" s="7">
        <v>1</v>
      </c>
      <c r="H15" t="s">
        <v>519</v>
      </c>
      <c r="I15" t="s">
        <v>115</v>
      </c>
    </row>
    <row r="16" spans="2:9">
      <c r="B16" t="s">
        <v>118</v>
      </c>
      <c r="C16" t="s">
        <v>119</v>
      </c>
      <c r="D16" s="5">
        <v>45028</v>
      </c>
      <c r="E16">
        <v>3600</v>
      </c>
      <c r="F16" t="s">
        <v>46</v>
      </c>
      <c r="G16" s="7">
        <v>1</v>
      </c>
      <c r="H16" t="s">
        <v>519</v>
      </c>
      <c r="I16" t="s">
        <v>118</v>
      </c>
    </row>
    <row r="17" spans="2:9">
      <c r="B17" t="s">
        <v>121</v>
      </c>
      <c r="C17" t="s">
        <v>122</v>
      </c>
      <c r="D17" s="5">
        <v>45117</v>
      </c>
      <c r="E17">
        <v>4800</v>
      </c>
      <c r="F17" t="s">
        <v>46</v>
      </c>
      <c r="G17" s="7">
        <v>2</v>
      </c>
      <c r="H17" t="s">
        <v>520</v>
      </c>
      <c r="I17" t="s">
        <v>121</v>
      </c>
    </row>
    <row r="18" spans="2:9">
      <c r="B18" t="s">
        <v>124</v>
      </c>
      <c r="C18" t="s">
        <v>125</v>
      </c>
      <c r="D18" s="5">
        <v>45117</v>
      </c>
      <c r="E18">
        <v>3600</v>
      </c>
      <c r="F18" t="s">
        <v>107</v>
      </c>
      <c r="G18" s="7">
        <v>1</v>
      </c>
      <c r="H18" t="s">
        <v>519</v>
      </c>
      <c r="I18" t="s">
        <v>124</v>
      </c>
    </row>
    <row r="19" spans="2:9">
      <c r="B19" t="s">
        <v>126</v>
      </c>
      <c r="C19" t="s">
        <v>127</v>
      </c>
      <c r="D19" s="5">
        <v>45124</v>
      </c>
      <c r="E19">
        <v>10800</v>
      </c>
      <c r="F19" t="s">
        <v>107</v>
      </c>
      <c r="G19" s="7">
        <v>3</v>
      </c>
      <c r="H19" t="s">
        <v>520</v>
      </c>
      <c r="I19" t="s">
        <v>126</v>
      </c>
    </row>
    <row r="20" spans="2:9">
      <c r="B20" t="s">
        <v>128</v>
      </c>
      <c r="C20" t="s">
        <v>129</v>
      </c>
      <c r="D20" s="5">
        <v>45131</v>
      </c>
      <c r="E20">
        <v>3600</v>
      </c>
      <c r="F20" t="s">
        <v>46</v>
      </c>
      <c r="G20" s="7">
        <v>1</v>
      </c>
      <c r="H20" t="s">
        <v>519</v>
      </c>
      <c r="I20" t="s">
        <v>128</v>
      </c>
    </row>
    <row r="21" spans="2:9">
      <c r="B21" t="s">
        <v>130</v>
      </c>
      <c r="C21" t="s">
        <v>131</v>
      </c>
      <c r="D21" s="5">
        <v>45261</v>
      </c>
      <c r="E21">
        <v>6000</v>
      </c>
      <c r="F21" t="s">
        <v>46</v>
      </c>
      <c r="G21" s="7">
        <v>0</v>
      </c>
      <c r="H21" t="s">
        <v>520</v>
      </c>
      <c r="I21" t="s">
        <v>130</v>
      </c>
    </row>
    <row r="22" spans="2:9">
      <c r="B22" t="s">
        <v>133</v>
      </c>
      <c r="C22" t="s">
        <v>134</v>
      </c>
      <c r="D22" s="5">
        <v>45261</v>
      </c>
      <c r="E22">
        <v>4800</v>
      </c>
      <c r="F22" t="s">
        <v>46</v>
      </c>
      <c r="G22" s="7">
        <v>1</v>
      </c>
      <c r="H22" t="s">
        <v>519</v>
      </c>
      <c r="I22" t="s">
        <v>133</v>
      </c>
    </row>
    <row r="23" spans="2:9">
      <c r="B23" t="s">
        <v>135</v>
      </c>
      <c r="C23" t="s">
        <v>136</v>
      </c>
      <c r="D23" s="5">
        <v>45306</v>
      </c>
      <c r="E23">
        <v>4800</v>
      </c>
      <c r="F23" t="s">
        <v>46</v>
      </c>
      <c r="G23" s="7">
        <v>1</v>
      </c>
      <c r="H23" t="s">
        <v>520</v>
      </c>
      <c r="I23" t="s">
        <v>135</v>
      </c>
    </row>
    <row r="24" spans="2:9">
      <c r="B24" t="s">
        <v>141</v>
      </c>
      <c r="C24" t="s">
        <v>142</v>
      </c>
      <c r="D24" s="5">
        <v>45309</v>
      </c>
      <c r="E24">
        <v>3000</v>
      </c>
      <c r="F24" t="s">
        <v>46</v>
      </c>
      <c r="G24" s="7">
        <v>1</v>
      </c>
      <c r="H24" t="s">
        <v>519</v>
      </c>
      <c r="I24" t="s">
        <v>141</v>
      </c>
    </row>
    <row r="25" spans="2:9">
      <c r="B25" t="s">
        <v>143</v>
      </c>
      <c r="C25" t="s">
        <v>144</v>
      </c>
      <c r="D25" s="5">
        <v>45316</v>
      </c>
      <c r="E25">
        <v>4800</v>
      </c>
      <c r="F25" t="s">
        <v>46</v>
      </c>
      <c r="G25" s="7">
        <v>0</v>
      </c>
      <c r="H25" t="s">
        <v>520</v>
      </c>
      <c r="I25" t="s">
        <v>143</v>
      </c>
    </row>
    <row r="26" spans="2:9">
      <c r="B26" t="s">
        <v>146</v>
      </c>
      <c r="C26" t="s">
        <v>147</v>
      </c>
      <c r="D26" s="5">
        <v>45332</v>
      </c>
      <c r="E26">
        <v>6000</v>
      </c>
      <c r="F26" t="s">
        <v>46</v>
      </c>
      <c r="G26" s="7">
        <v>1</v>
      </c>
      <c r="H26" t="s">
        <v>520</v>
      </c>
      <c r="I26" t="s">
        <v>146</v>
      </c>
    </row>
    <row r="27" spans="2:9">
      <c r="B27" t="s">
        <v>156</v>
      </c>
      <c r="C27" t="s">
        <v>157</v>
      </c>
      <c r="D27" s="5">
        <v>45354</v>
      </c>
      <c r="E27">
        <v>3600</v>
      </c>
      <c r="F27" t="s">
        <v>46</v>
      </c>
      <c r="G27" s="7">
        <v>0</v>
      </c>
      <c r="H27" t="s">
        <v>520</v>
      </c>
      <c r="I27" t="s">
        <v>156</v>
      </c>
    </row>
    <row r="28" spans="2:9">
      <c r="B28" t="s">
        <v>160</v>
      </c>
      <c r="C28" t="s">
        <v>161</v>
      </c>
      <c r="D28" s="5">
        <v>45383</v>
      </c>
      <c r="E28">
        <v>3600</v>
      </c>
      <c r="F28" t="s">
        <v>107</v>
      </c>
      <c r="G28" s="7">
        <v>1</v>
      </c>
      <c r="H28" t="s">
        <v>520</v>
      </c>
      <c r="I28" t="s">
        <v>160</v>
      </c>
    </row>
    <row r="29" spans="2:9">
      <c r="B29" t="s">
        <v>166</v>
      </c>
      <c r="C29" t="s">
        <v>167</v>
      </c>
      <c r="D29" s="5">
        <v>45384</v>
      </c>
      <c r="E29">
        <v>7200</v>
      </c>
      <c r="F29" t="s">
        <v>46</v>
      </c>
      <c r="G29" s="7">
        <v>2</v>
      </c>
      <c r="H29" t="s">
        <v>520</v>
      </c>
      <c r="I29" t="s">
        <v>166</v>
      </c>
    </row>
    <row r="30" spans="2:9">
      <c r="B30" t="s">
        <v>172</v>
      </c>
      <c r="C30" t="s">
        <v>173</v>
      </c>
      <c r="D30" s="5">
        <v>45385</v>
      </c>
      <c r="E30">
        <v>3600</v>
      </c>
      <c r="F30" t="s">
        <v>46</v>
      </c>
      <c r="G30" s="7">
        <v>1</v>
      </c>
      <c r="H30" t="s">
        <v>520</v>
      </c>
      <c r="I30" t="s">
        <v>172</v>
      </c>
    </row>
    <row r="31" spans="2:9">
      <c r="B31" t="s">
        <v>178</v>
      </c>
      <c r="C31" t="s">
        <v>179</v>
      </c>
      <c r="D31" s="5">
        <v>45385</v>
      </c>
      <c r="E31">
        <v>3600</v>
      </c>
      <c r="F31" t="s">
        <v>46</v>
      </c>
      <c r="G31" s="7">
        <v>1</v>
      </c>
      <c r="H31" t="s">
        <v>520</v>
      </c>
      <c r="I31" t="s">
        <v>178</v>
      </c>
    </row>
    <row r="32" spans="2:9">
      <c r="B32" t="s">
        <v>180</v>
      </c>
      <c r="C32" t="s">
        <v>181</v>
      </c>
      <c r="D32" s="5">
        <v>45385</v>
      </c>
      <c r="E32">
        <v>3600</v>
      </c>
      <c r="F32" t="s">
        <v>46</v>
      </c>
      <c r="G32" s="7">
        <v>1</v>
      </c>
      <c r="H32" t="s">
        <v>520</v>
      </c>
      <c r="I32" t="s">
        <v>180</v>
      </c>
    </row>
    <row r="33" spans="2:9">
      <c r="B33" t="s">
        <v>183</v>
      </c>
      <c r="C33" t="s">
        <v>184</v>
      </c>
      <c r="D33" s="5">
        <v>45401</v>
      </c>
      <c r="E33">
        <v>1800</v>
      </c>
      <c r="F33" t="s">
        <v>46</v>
      </c>
      <c r="G33" s="7">
        <v>0</v>
      </c>
      <c r="H33" t="s">
        <v>520</v>
      </c>
      <c r="I33" t="s">
        <v>183</v>
      </c>
    </row>
    <row r="34" spans="2:9">
      <c r="B34" t="s">
        <v>185</v>
      </c>
      <c r="C34" t="s">
        <v>186</v>
      </c>
      <c r="D34" s="5">
        <v>45406</v>
      </c>
      <c r="E34">
        <v>1800</v>
      </c>
      <c r="F34" t="s">
        <v>46</v>
      </c>
      <c r="G34" s="7">
        <v>0</v>
      </c>
      <c r="H34" t="s">
        <v>520</v>
      </c>
      <c r="I34" t="s">
        <v>185</v>
      </c>
    </row>
    <row r="35" spans="2:9">
      <c r="B35" t="s">
        <v>188</v>
      </c>
      <c r="C35" t="s">
        <v>189</v>
      </c>
      <c r="D35" s="5">
        <v>45413</v>
      </c>
      <c r="E35">
        <v>3600</v>
      </c>
      <c r="F35" t="s">
        <v>46</v>
      </c>
      <c r="G35" s="7">
        <v>1</v>
      </c>
      <c r="H35" t="s">
        <v>520</v>
      </c>
      <c r="I35" t="s">
        <v>188</v>
      </c>
    </row>
    <row r="36" spans="2:9">
      <c r="B36" t="s">
        <v>192</v>
      </c>
      <c r="C36" t="s">
        <v>193</v>
      </c>
      <c r="D36" s="5">
        <v>45416</v>
      </c>
      <c r="E36">
        <v>0</v>
      </c>
      <c r="F36" t="s">
        <v>46</v>
      </c>
      <c r="G36" s="7">
        <v>0</v>
      </c>
      <c r="H36" t="s">
        <v>520</v>
      </c>
      <c r="I36" t="s">
        <v>192</v>
      </c>
    </row>
    <row r="37" spans="2:9">
      <c r="B37" t="s">
        <v>196</v>
      </c>
      <c r="C37" t="s">
        <v>197</v>
      </c>
      <c r="D37" s="5">
        <v>45421</v>
      </c>
      <c r="E37">
        <v>1400</v>
      </c>
      <c r="F37" t="s">
        <v>46</v>
      </c>
      <c r="G37" s="7">
        <v>0</v>
      </c>
      <c r="H37" t="s">
        <v>520</v>
      </c>
      <c r="I37" t="s">
        <v>196</v>
      </c>
    </row>
    <row r="38" spans="2:9">
      <c r="B38" t="s">
        <v>198</v>
      </c>
      <c r="C38" t="s">
        <v>199</v>
      </c>
      <c r="D38" s="5">
        <v>45425</v>
      </c>
      <c r="E38">
        <v>0</v>
      </c>
      <c r="F38" t="s">
        <v>107</v>
      </c>
      <c r="G38" s="7">
        <v>0</v>
      </c>
      <c r="H38" t="s">
        <v>520</v>
      </c>
      <c r="I38" t="s">
        <v>198</v>
      </c>
    </row>
    <row r="39" spans="2:9">
      <c r="B39" t="s">
        <v>200</v>
      </c>
      <c r="C39" t="s">
        <v>201</v>
      </c>
      <c r="D39" s="5">
        <v>45426</v>
      </c>
      <c r="E39">
        <v>1800</v>
      </c>
      <c r="F39" t="s">
        <v>46</v>
      </c>
      <c r="G39" s="7">
        <v>0</v>
      </c>
      <c r="H39" t="s">
        <v>520</v>
      </c>
      <c r="I39" t="s">
        <v>200</v>
      </c>
    </row>
    <row r="40" spans="2:9">
      <c r="B40" t="s">
        <v>204</v>
      </c>
      <c r="C40" t="s">
        <v>205</v>
      </c>
      <c r="D40" s="5">
        <v>45455</v>
      </c>
      <c r="E40">
        <v>0</v>
      </c>
      <c r="F40" t="s">
        <v>46</v>
      </c>
      <c r="G40" s="7">
        <v>0</v>
      </c>
      <c r="H40" t="s">
        <v>520</v>
      </c>
      <c r="I40" t="s">
        <v>204</v>
      </c>
    </row>
    <row r="41" spans="2:9">
      <c r="B41" t="s">
        <v>208</v>
      </c>
      <c r="C41" t="s">
        <v>209</v>
      </c>
      <c r="D41" s="5">
        <v>45456</v>
      </c>
      <c r="E41">
        <v>1000</v>
      </c>
      <c r="F41" t="s">
        <v>46</v>
      </c>
      <c r="G41" s="7">
        <v>0</v>
      </c>
      <c r="H41" t="s">
        <v>520</v>
      </c>
      <c r="I41" t="s">
        <v>208</v>
      </c>
    </row>
  </sheetData>
  <autoFilter ref="B2:H41" xr:uid="{B8FB0BAE-7F58-42E1-9CD5-9A04A0D0CC6E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A517A-991B-409A-AC74-98AEBC80BA6B}">
  <dimension ref="A3:P44"/>
  <sheetViews>
    <sheetView zoomScale="85" zoomScaleNormal="85" workbookViewId="0">
      <selection activeCell="B4" sqref="B4"/>
    </sheetView>
  </sheetViews>
  <sheetFormatPr defaultRowHeight="15"/>
  <cols>
    <col min="1" max="1" width="20.140625" bestFit="1" customWidth="1"/>
    <col min="2" max="2" width="15.5703125" bestFit="1" customWidth="1"/>
    <col min="3" max="3" width="6.140625" bestFit="1" customWidth="1"/>
    <col min="4" max="7" width="8.42578125" bestFit="1" customWidth="1"/>
    <col min="8" max="11" width="14.28515625" bestFit="1" customWidth="1"/>
    <col min="12" max="12" width="14.5703125" bestFit="1" customWidth="1"/>
    <col min="13" max="14" width="12.140625" bestFit="1" customWidth="1"/>
    <col min="15" max="15" width="10.5703125" bestFit="1" customWidth="1"/>
  </cols>
  <sheetData>
    <row r="3" spans="1:16">
      <c r="A3" s="16" t="s">
        <v>521</v>
      </c>
      <c r="B3" s="16" t="s">
        <v>522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6">
      <c r="A4" s="16" t="s">
        <v>6</v>
      </c>
      <c r="B4" s="15" t="s">
        <v>36</v>
      </c>
      <c r="C4" s="15" t="s">
        <v>94</v>
      </c>
      <c r="D4" s="15" t="s">
        <v>41</v>
      </c>
      <c r="E4" s="15" t="s">
        <v>84</v>
      </c>
      <c r="F4" s="15" t="s">
        <v>86</v>
      </c>
      <c r="G4" s="15" t="s">
        <v>103</v>
      </c>
      <c r="H4" s="15" t="s">
        <v>51</v>
      </c>
      <c r="I4" s="15" t="s">
        <v>54</v>
      </c>
      <c r="J4" s="15" t="s">
        <v>56</v>
      </c>
      <c r="K4" s="15" t="s">
        <v>58</v>
      </c>
      <c r="L4" s="15" t="s">
        <v>60</v>
      </c>
      <c r="M4" s="15" t="s">
        <v>76</v>
      </c>
      <c r="N4" s="15" t="s">
        <v>79</v>
      </c>
      <c r="O4" s="15" t="s">
        <v>506</v>
      </c>
      <c r="P4" s="18" t="s">
        <v>523</v>
      </c>
    </row>
    <row r="5" spans="1:16">
      <c r="A5" s="17" t="s">
        <v>49</v>
      </c>
      <c r="B5" s="14"/>
      <c r="C5" s="14"/>
      <c r="D5" s="14"/>
      <c r="E5" s="14"/>
      <c r="F5" s="14"/>
      <c r="G5" s="14"/>
      <c r="H5" s="14">
        <v>1</v>
      </c>
      <c r="I5" s="14">
        <v>1</v>
      </c>
      <c r="J5" s="14">
        <v>1</v>
      </c>
      <c r="K5" s="14">
        <v>1</v>
      </c>
      <c r="L5" s="14">
        <v>1</v>
      </c>
      <c r="M5" s="14"/>
      <c r="N5" s="14"/>
      <c r="O5" s="14">
        <v>5</v>
      </c>
      <c r="P5" t="str">
        <f>VLOOKUP(A5,S0!C:H,6,0)</f>
        <v>Active</v>
      </c>
    </row>
    <row r="6" spans="1:16">
      <c r="A6" s="17" t="s">
        <v>127</v>
      </c>
      <c r="B6" s="14"/>
      <c r="C6" s="14"/>
      <c r="D6" s="14">
        <v>1</v>
      </c>
      <c r="E6" s="14">
        <v>1</v>
      </c>
      <c r="F6" s="14">
        <v>1</v>
      </c>
      <c r="G6" s="14">
        <v>1</v>
      </c>
      <c r="H6" s="14"/>
      <c r="I6" s="14"/>
      <c r="J6" s="14"/>
      <c r="K6" s="14"/>
      <c r="L6" s="14"/>
      <c r="M6" s="14"/>
      <c r="N6" s="14"/>
      <c r="O6" s="14">
        <v>4</v>
      </c>
      <c r="P6" t="str">
        <f>VLOOKUP(A6,S0!C:H,6,0)</f>
        <v>Active</v>
      </c>
    </row>
    <row r="7" spans="1:16">
      <c r="A7" s="17" t="s">
        <v>105</v>
      </c>
      <c r="B7" s="14"/>
      <c r="C7" s="14"/>
      <c r="D7" s="14">
        <v>1</v>
      </c>
      <c r="E7" s="14">
        <v>1</v>
      </c>
      <c r="F7" s="14">
        <v>1</v>
      </c>
      <c r="G7" s="14">
        <v>1</v>
      </c>
      <c r="H7" s="14"/>
      <c r="I7" s="14"/>
      <c r="J7" s="14"/>
      <c r="K7" s="14"/>
      <c r="L7" s="14"/>
      <c r="M7" s="14"/>
      <c r="N7" s="14"/>
      <c r="O7" s="14">
        <v>4</v>
      </c>
      <c r="P7" t="str">
        <f>VLOOKUP(A7,S0!C:H,6,0)</f>
        <v>Active</v>
      </c>
    </row>
    <row r="8" spans="1:16">
      <c r="A8" s="17" t="s">
        <v>122</v>
      </c>
      <c r="B8" s="14"/>
      <c r="C8" s="14"/>
      <c r="D8" s="14">
        <v>1</v>
      </c>
      <c r="E8" s="14">
        <v>1</v>
      </c>
      <c r="F8" s="14">
        <v>1</v>
      </c>
      <c r="G8" s="14"/>
      <c r="H8" s="14"/>
      <c r="I8" s="14"/>
      <c r="J8" s="14"/>
      <c r="K8" s="14"/>
      <c r="L8" s="14"/>
      <c r="M8" s="14"/>
      <c r="N8" s="14"/>
      <c r="O8" s="14">
        <v>3</v>
      </c>
      <c r="P8" t="str">
        <f>VLOOKUP(A8,S0!C:H,6,0)</f>
        <v>Active</v>
      </c>
    </row>
    <row r="9" spans="1:16">
      <c r="A9" s="17" t="s">
        <v>71</v>
      </c>
      <c r="B9" s="14"/>
      <c r="C9" s="14"/>
      <c r="D9" s="14"/>
      <c r="E9" s="14"/>
      <c r="F9" s="14"/>
      <c r="G9" s="14"/>
      <c r="H9" s="14">
        <v>1</v>
      </c>
      <c r="I9" s="14">
        <v>1</v>
      </c>
      <c r="J9" s="14">
        <v>1</v>
      </c>
      <c r="K9" s="14"/>
      <c r="L9" s="14"/>
      <c r="M9" s="14"/>
      <c r="N9" s="14"/>
      <c r="O9" s="14">
        <v>3</v>
      </c>
      <c r="P9" t="str">
        <f>VLOOKUP(A9,S0!C:H,6,0)</f>
        <v>Inactive</v>
      </c>
    </row>
    <row r="10" spans="1:16">
      <c r="A10" s="17" t="s">
        <v>167</v>
      </c>
      <c r="B10" s="14"/>
      <c r="C10" s="14"/>
      <c r="D10" s="14">
        <v>1</v>
      </c>
      <c r="E10" s="14">
        <v>1</v>
      </c>
      <c r="F10" s="14">
        <v>1</v>
      </c>
      <c r="G10" s="14"/>
      <c r="H10" s="14"/>
      <c r="I10" s="14"/>
      <c r="J10" s="14"/>
      <c r="K10" s="14"/>
      <c r="L10" s="14"/>
      <c r="M10" s="14"/>
      <c r="N10" s="14"/>
      <c r="O10" s="14">
        <v>3</v>
      </c>
      <c r="P10" t="str">
        <f>VLOOKUP(A10,S0!C:H,6,0)</f>
        <v>Active</v>
      </c>
    </row>
    <row r="11" spans="1:16">
      <c r="A11" s="17" t="s">
        <v>89</v>
      </c>
      <c r="B11" s="14"/>
      <c r="C11" s="14"/>
      <c r="D11" s="14">
        <v>1</v>
      </c>
      <c r="E11" s="14">
        <v>1</v>
      </c>
      <c r="F11" s="14">
        <v>1</v>
      </c>
      <c r="G11" s="14"/>
      <c r="H11" s="14"/>
      <c r="I11" s="14"/>
      <c r="J11" s="14"/>
      <c r="K11" s="14"/>
      <c r="L11" s="14"/>
      <c r="M11" s="14"/>
      <c r="N11" s="14"/>
      <c r="O11" s="14">
        <v>3</v>
      </c>
      <c r="P11" t="str">
        <f>VLOOKUP(A11,S0!C:H,6,0)</f>
        <v>Active</v>
      </c>
    </row>
    <row r="12" spans="1:16">
      <c r="A12" s="17" t="s">
        <v>92</v>
      </c>
      <c r="B12" s="14">
        <v>1</v>
      </c>
      <c r="C12" s="14">
        <v>1</v>
      </c>
      <c r="D12" s="14">
        <v>1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>
        <v>3</v>
      </c>
      <c r="P12" t="str">
        <f>VLOOKUP(A12,S0!C:H,6,0)</f>
        <v>Active</v>
      </c>
    </row>
    <row r="13" spans="1:16">
      <c r="A13" s="17" t="s">
        <v>99</v>
      </c>
      <c r="B13" s="14"/>
      <c r="C13" s="14">
        <v>1</v>
      </c>
      <c r="D13" s="14">
        <v>1</v>
      </c>
      <c r="E13" s="14">
        <v>1</v>
      </c>
      <c r="F13" s="14"/>
      <c r="G13" s="14"/>
      <c r="H13" s="14"/>
      <c r="I13" s="14"/>
      <c r="J13" s="14"/>
      <c r="K13" s="14"/>
      <c r="L13" s="14"/>
      <c r="M13" s="14"/>
      <c r="N13" s="14"/>
      <c r="O13" s="14">
        <v>3</v>
      </c>
      <c r="P13" t="str">
        <f>VLOOKUP(A13,S0!C:H,6,0)</f>
        <v>Active</v>
      </c>
    </row>
    <row r="14" spans="1:16">
      <c r="A14" s="17" t="s">
        <v>81</v>
      </c>
      <c r="B14" s="14"/>
      <c r="C14" s="14"/>
      <c r="D14" s="14">
        <v>1</v>
      </c>
      <c r="E14" s="14">
        <v>1</v>
      </c>
      <c r="F14" s="14">
        <v>1</v>
      </c>
      <c r="G14" s="14"/>
      <c r="H14" s="14"/>
      <c r="I14" s="14"/>
      <c r="J14" s="14"/>
      <c r="K14" s="14"/>
      <c r="L14" s="14"/>
      <c r="M14" s="14"/>
      <c r="N14" s="14"/>
      <c r="O14" s="14">
        <v>3</v>
      </c>
      <c r="P14" t="str">
        <f>VLOOKUP(A14,S0!C:H,6,0)</f>
        <v>Inactive</v>
      </c>
    </row>
    <row r="15" spans="1:16">
      <c r="A15" s="17" t="s">
        <v>189</v>
      </c>
      <c r="B15" s="14"/>
      <c r="C15" s="14"/>
      <c r="D15" s="14"/>
      <c r="E15" s="14"/>
      <c r="F15" s="14"/>
      <c r="G15" s="14"/>
      <c r="H15" s="14">
        <v>1</v>
      </c>
      <c r="I15" s="14">
        <v>1</v>
      </c>
      <c r="J15" s="14"/>
      <c r="K15" s="14"/>
      <c r="L15" s="14"/>
      <c r="M15" s="14"/>
      <c r="N15" s="14"/>
      <c r="O15" s="14">
        <v>2</v>
      </c>
      <c r="P15" t="str">
        <f>VLOOKUP(A15,S0!C:H,6,0)</f>
        <v>Active</v>
      </c>
    </row>
    <row r="16" spans="1:16">
      <c r="A16" s="17" t="s">
        <v>179</v>
      </c>
      <c r="B16" s="14"/>
      <c r="C16" s="14"/>
      <c r="D16" s="14">
        <v>1</v>
      </c>
      <c r="E16" s="14">
        <v>1</v>
      </c>
      <c r="F16" s="14"/>
      <c r="G16" s="14"/>
      <c r="H16" s="14"/>
      <c r="I16" s="14"/>
      <c r="J16" s="14"/>
      <c r="K16" s="14"/>
      <c r="L16" s="14"/>
      <c r="M16" s="14"/>
      <c r="N16" s="14"/>
      <c r="O16" s="14">
        <v>2</v>
      </c>
      <c r="P16" t="str">
        <f>VLOOKUP(A16,S0!C:H,6,0)</f>
        <v>Active</v>
      </c>
    </row>
    <row r="17" spans="1:16">
      <c r="A17" s="17" t="s">
        <v>181</v>
      </c>
      <c r="B17" s="14"/>
      <c r="C17" s="14"/>
      <c r="D17" s="14">
        <v>1</v>
      </c>
      <c r="E17" s="14">
        <v>1</v>
      </c>
      <c r="F17" s="14"/>
      <c r="G17" s="14"/>
      <c r="H17" s="14"/>
      <c r="I17" s="14"/>
      <c r="J17" s="14"/>
      <c r="K17" s="14"/>
      <c r="L17" s="14"/>
      <c r="M17" s="14"/>
      <c r="N17" s="14"/>
      <c r="O17" s="14">
        <v>2</v>
      </c>
      <c r="P17" t="str">
        <f>VLOOKUP(A17,S0!C:H,6,0)</f>
        <v>Active</v>
      </c>
    </row>
    <row r="18" spans="1:16">
      <c r="A18" s="17" t="s">
        <v>74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>
        <v>1</v>
      </c>
      <c r="N18" s="14">
        <v>1</v>
      </c>
      <c r="O18" s="14">
        <v>2</v>
      </c>
      <c r="P18" t="str">
        <f>VLOOKUP(A18,S0!C:H,6,0)</f>
        <v>Inactive</v>
      </c>
    </row>
    <row r="19" spans="1:16">
      <c r="A19" s="17" t="s">
        <v>173</v>
      </c>
      <c r="B19" s="14"/>
      <c r="C19" s="14"/>
      <c r="D19" s="14">
        <v>1</v>
      </c>
      <c r="E19" s="14">
        <v>1</v>
      </c>
      <c r="F19" s="14"/>
      <c r="G19" s="14"/>
      <c r="H19" s="14"/>
      <c r="I19" s="14"/>
      <c r="J19" s="14"/>
      <c r="K19" s="14"/>
      <c r="L19" s="14"/>
      <c r="M19" s="14"/>
      <c r="N19" s="14"/>
      <c r="O19" s="14">
        <v>2</v>
      </c>
      <c r="P19" t="str">
        <f>VLOOKUP(A19,S0!C:H,6,0)</f>
        <v>Active</v>
      </c>
    </row>
    <row r="20" spans="1:16">
      <c r="A20" s="17" t="s">
        <v>161</v>
      </c>
      <c r="B20" s="14"/>
      <c r="C20" s="14"/>
      <c r="D20" s="14">
        <v>1</v>
      </c>
      <c r="E20" s="14">
        <v>1</v>
      </c>
      <c r="F20" s="14"/>
      <c r="G20" s="14"/>
      <c r="H20" s="14"/>
      <c r="I20" s="14"/>
      <c r="J20" s="14"/>
      <c r="K20" s="14"/>
      <c r="L20" s="14"/>
      <c r="M20" s="14"/>
      <c r="N20" s="14"/>
      <c r="O20" s="14">
        <v>2</v>
      </c>
      <c r="P20" t="str">
        <f>VLOOKUP(A20,S0!C:H,6,0)</f>
        <v>Active</v>
      </c>
    </row>
    <row r="21" spans="1:16">
      <c r="A21" s="17" t="s">
        <v>113</v>
      </c>
      <c r="B21" s="14"/>
      <c r="C21" s="14">
        <v>1</v>
      </c>
      <c r="D21" s="14">
        <v>1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>
        <v>2</v>
      </c>
      <c r="P21" t="str">
        <f>VLOOKUP(A21,S0!C:H,6,0)</f>
        <v>Active</v>
      </c>
    </row>
    <row r="22" spans="1:16">
      <c r="A22" s="17" t="s">
        <v>96</v>
      </c>
      <c r="B22" s="14"/>
      <c r="C22" s="14"/>
      <c r="D22" s="14">
        <v>1</v>
      </c>
      <c r="E22" s="14">
        <v>1</v>
      </c>
      <c r="F22" s="14"/>
      <c r="G22" s="14"/>
      <c r="H22" s="14"/>
      <c r="I22" s="14"/>
      <c r="J22" s="14"/>
      <c r="K22" s="14"/>
      <c r="L22" s="14"/>
      <c r="M22" s="14"/>
      <c r="N22" s="14"/>
      <c r="O22" s="14">
        <v>2</v>
      </c>
      <c r="P22" t="str">
        <f>VLOOKUP(A22,S0!C:H,6,0)</f>
        <v>Inactive</v>
      </c>
    </row>
    <row r="23" spans="1:16">
      <c r="A23" s="17" t="s">
        <v>44</v>
      </c>
      <c r="B23" s="14">
        <v>1</v>
      </c>
      <c r="C23" s="14"/>
      <c r="D23" s="14">
        <v>1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>
        <v>2</v>
      </c>
      <c r="P23" t="str">
        <f>VLOOKUP(A23,S0!C:H,6,0)</f>
        <v>Inactive</v>
      </c>
    </row>
    <row r="24" spans="1:16">
      <c r="A24" s="17" t="s">
        <v>136</v>
      </c>
      <c r="B24" s="14"/>
      <c r="C24" s="14"/>
      <c r="D24" s="14">
        <v>1</v>
      </c>
      <c r="E24" s="14">
        <v>1</v>
      </c>
      <c r="F24" s="14"/>
      <c r="G24" s="14"/>
      <c r="H24" s="14"/>
      <c r="I24" s="14"/>
      <c r="J24" s="14"/>
      <c r="K24" s="14"/>
      <c r="L24" s="14"/>
      <c r="M24" s="14"/>
      <c r="N24" s="14"/>
      <c r="O24" s="14">
        <v>2</v>
      </c>
      <c r="P24" t="str">
        <f>VLOOKUP(A24,S0!C:H,6,0)</f>
        <v>Active</v>
      </c>
    </row>
    <row r="25" spans="1:16">
      <c r="A25" s="17" t="s">
        <v>147</v>
      </c>
      <c r="B25" s="14"/>
      <c r="C25" s="14">
        <v>1</v>
      </c>
      <c r="D25" s="14">
        <v>1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>
        <v>2</v>
      </c>
      <c r="P25" t="str">
        <f>VLOOKUP(A25,S0!C:H,6,0)</f>
        <v>Active</v>
      </c>
    </row>
    <row r="26" spans="1:16">
      <c r="A26" s="17" t="s">
        <v>33</v>
      </c>
      <c r="B26" s="14">
        <v>1</v>
      </c>
      <c r="C26" s="14"/>
      <c r="D26" s="14">
        <v>1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>
        <v>2</v>
      </c>
      <c r="P26" t="str">
        <f>VLOOKUP(A26,S0!C:H,6,0)</f>
        <v>Inactive</v>
      </c>
    </row>
    <row r="27" spans="1:16">
      <c r="A27" s="17" t="s">
        <v>199</v>
      </c>
      <c r="B27" s="14"/>
      <c r="C27" s="14">
        <v>1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>
        <v>1</v>
      </c>
      <c r="P27" t="str">
        <f>VLOOKUP(A27,S0!C:H,6,0)</f>
        <v>Active</v>
      </c>
    </row>
    <row r="28" spans="1:16">
      <c r="A28" s="17" t="s">
        <v>131</v>
      </c>
      <c r="B28" s="14"/>
      <c r="C28" s="14"/>
      <c r="D28" s="14"/>
      <c r="E28" s="14"/>
      <c r="F28" s="14"/>
      <c r="G28" s="14"/>
      <c r="H28" s="14">
        <v>1</v>
      </c>
      <c r="I28" s="14"/>
      <c r="J28" s="14"/>
      <c r="K28" s="14"/>
      <c r="L28" s="14"/>
      <c r="M28" s="14"/>
      <c r="N28" s="14"/>
      <c r="O28" s="14">
        <v>1</v>
      </c>
      <c r="P28" t="str">
        <f>VLOOKUP(A28,S0!C:H,6,0)</f>
        <v>Active</v>
      </c>
    </row>
    <row r="29" spans="1:16">
      <c r="A29" s="17" t="s">
        <v>201</v>
      </c>
      <c r="B29" s="14"/>
      <c r="C29" s="14"/>
      <c r="D29" s="14">
        <v>1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>
        <v>1</v>
      </c>
      <c r="P29" t="str">
        <f>VLOOKUP(A29,S0!C:H,6,0)</f>
        <v>Active</v>
      </c>
    </row>
    <row r="30" spans="1:16">
      <c r="A30" s="17" t="s">
        <v>134</v>
      </c>
      <c r="B30" s="14"/>
      <c r="C30" s="14"/>
      <c r="D30" s="14"/>
      <c r="E30" s="14"/>
      <c r="F30" s="14"/>
      <c r="G30" s="14"/>
      <c r="H30" s="14">
        <v>1</v>
      </c>
      <c r="I30" s="14"/>
      <c r="J30" s="14"/>
      <c r="K30" s="14"/>
      <c r="L30" s="14"/>
      <c r="M30" s="14"/>
      <c r="N30" s="14"/>
      <c r="O30" s="14">
        <v>1</v>
      </c>
      <c r="P30" t="str">
        <f>VLOOKUP(A30,S0!C:H,6,0)</f>
        <v>Inactive</v>
      </c>
    </row>
    <row r="31" spans="1:16">
      <c r="A31" s="17" t="s">
        <v>209</v>
      </c>
      <c r="B31" s="14"/>
      <c r="C31" s="14">
        <v>1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>
        <v>1</v>
      </c>
      <c r="P31" t="str">
        <f>VLOOKUP(A31,S0!C:H,6,0)</f>
        <v>Active</v>
      </c>
    </row>
    <row r="32" spans="1:16">
      <c r="A32" s="17" t="s">
        <v>144</v>
      </c>
      <c r="B32" s="14"/>
      <c r="C32" s="14"/>
      <c r="D32" s="14">
        <v>1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>
        <v>1</v>
      </c>
      <c r="P32" t="str">
        <f>VLOOKUP(A32,S0!C:H,6,0)</f>
        <v>Active</v>
      </c>
    </row>
    <row r="33" spans="1:16">
      <c r="A33" s="17" t="s">
        <v>186</v>
      </c>
      <c r="B33" s="14">
        <v>1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>
        <v>1</v>
      </c>
      <c r="P33" t="str">
        <f>VLOOKUP(A33,S0!C:H,6,0)</f>
        <v>Active</v>
      </c>
    </row>
    <row r="34" spans="1:16">
      <c r="A34" s="17" t="s">
        <v>129</v>
      </c>
      <c r="B34" s="14"/>
      <c r="C34" s="14"/>
      <c r="D34" s="14">
        <v>1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>
        <v>1</v>
      </c>
      <c r="P34" t="str">
        <f>VLOOKUP(A34,S0!C:H,6,0)</f>
        <v>Inactive</v>
      </c>
    </row>
    <row r="35" spans="1:16">
      <c r="A35" s="17" t="s">
        <v>197</v>
      </c>
      <c r="B35" s="14"/>
      <c r="C35" s="14"/>
      <c r="D35" s="14"/>
      <c r="E35" s="14"/>
      <c r="F35" s="14"/>
      <c r="G35" s="14"/>
      <c r="H35" s="14">
        <v>1</v>
      </c>
      <c r="I35" s="14"/>
      <c r="J35" s="14"/>
      <c r="K35" s="14"/>
      <c r="L35" s="14"/>
      <c r="M35" s="14"/>
      <c r="N35" s="14"/>
      <c r="O35" s="14">
        <v>1</v>
      </c>
      <c r="P35" t="str">
        <f>VLOOKUP(A35,S0!C:H,6,0)</f>
        <v>Active</v>
      </c>
    </row>
    <row r="36" spans="1:16">
      <c r="A36" s="17" t="s">
        <v>116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>
        <v>1</v>
      </c>
      <c r="N36" s="14"/>
      <c r="O36" s="14">
        <v>1</v>
      </c>
      <c r="P36" t="str">
        <f>VLOOKUP(A36,S0!C:H,6,0)</f>
        <v>Inactive</v>
      </c>
    </row>
    <row r="37" spans="1:16">
      <c r="A37" s="17" t="s">
        <v>184</v>
      </c>
      <c r="B37" s="14"/>
      <c r="C37" s="14"/>
      <c r="D37" s="14"/>
      <c r="E37" s="14"/>
      <c r="F37" s="14"/>
      <c r="G37" s="14"/>
      <c r="H37" s="14">
        <v>1</v>
      </c>
      <c r="I37" s="14"/>
      <c r="J37" s="14"/>
      <c r="K37" s="14"/>
      <c r="L37" s="14"/>
      <c r="M37" s="14"/>
      <c r="N37" s="14"/>
      <c r="O37" s="14">
        <v>1</v>
      </c>
      <c r="P37" t="str">
        <f>VLOOKUP(A37,S0!C:H,6,0)</f>
        <v>Active</v>
      </c>
    </row>
    <row r="38" spans="1:16">
      <c r="A38" s="17" t="s">
        <v>205</v>
      </c>
      <c r="B38" s="14"/>
      <c r="C38" s="14"/>
      <c r="D38" s="14"/>
      <c r="E38" s="14"/>
      <c r="F38" s="14"/>
      <c r="G38" s="14"/>
      <c r="H38" s="14">
        <v>1</v>
      </c>
      <c r="I38" s="14"/>
      <c r="J38" s="14"/>
      <c r="K38" s="14"/>
      <c r="L38" s="14"/>
      <c r="M38" s="14"/>
      <c r="N38" s="14"/>
      <c r="O38" s="14">
        <v>1</v>
      </c>
      <c r="P38" t="str">
        <f>VLOOKUP(A38,S0!C:H,6,0)</f>
        <v>Active</v>
      </c>
    </row>
    <row r="39" spans="1:16">
      <c r="A39" s="17" t="s">
        <v>119</v>
      </c>
      <c r="B39" s="14">
        <v>1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>
        <v>1</v>
      </c>
      <c r="P39" t="str">
        <f>VLOOKUP(A39,S0!C:H,6,0)</f>
        <v>Inactive</v>
      </c>
    </row>
    <row r="40" spans="1:16">
      <c r="A40" s="17" t="s">
        <v>125</v>
      </c>
      <c r="B40" s="14"/>
      <c r="C40" s="14"/>
      <c r="D40" s="14">
        <v>1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>
        <v>1</v>
      </c>
      <c r="P40" t="str">
        <f>VLOOKUP(A40,S0!C:H,6,0)</f>
        <v>Inactive</v>
      </c>
    </row>
    <row r="41" spans="1:16">
      <c r="A41" s="17" t="s">
        <v>157</v>
      </c>
      <c r="B41" s="14"/>
      <c r="C41" s="14"/>
      <c r="D41" s="14">
        <v>1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>
        <v>1</v>
      </c>
      <c r="P41" t="str">
        <f>VLOOKUP(A41,S0!C:H,6,0)</f>
        <v>Active</v>
      </c>
    </row>
    <row r="42" spans="1:16">
      <c r="A42" s="17" t="s">
        <v>193</v>
      </c>
      <c r="B42" s="14"/>
      <c r="C42" s="14"/>
      <c r="D42" s="14">
        <v>1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>
        <v>1</v>
      </c>
      <c r="P42" t="str">
        <f>VLOOKUP(A42,S0!C:H,6,0)</f>
        <v>Active</v>
      </c>
    </row>
    <row r="43" spans="1:16">
      <c r="A43" s="17" t="s">
        <v>142</v>
      </c>
      <c r="B43" s="14"/>
      <c r="C43" s="14">
        <v>1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>
        <v>1</v>
      </c>
      <c r="P43" t="str">
        <f>VLOOKUP(A43,S0!C:H,6,0)</f>
        <v>Inactive</v>
      </c>
    </row>
    <row r="44" spans="1:16">
      <c r="A44" s="17" t="s">
        <v>506</v>
      </c>
      <c r="B44" s="14">
        <v>5</v>
      </c>
      <c r="C44" s="14">
        <v>7</v>
      </c>
      <c r="D44" s="14">
        <v>24</v>
      </c>
      <c r="E44" s="14">
        <v>13</v>
      </c>
      <c r="F44" s="14">
        <v>6</v>
      </c>
      <c r="G44" s="14">
        <v>2</v>
      </c>
      <c r="H44" s="14">
        <v>8</v>
      </c>
      <c r="I44" s="14">
        <v>3</v>
      </c>
      <c r="J44" s="14">
        <v>2</v>
      </c>
      <c r="K44" s="14">
        <v>1</v>
      </c>
      <c r="L44" s="14">
        <v>1</v>
      </c>
      <c r="M44" s="14">
        <v>2</v>
      </c>
      <c r="N44" s="14">
        <v>1</v>
      </c>
      <c r="O44" s="14">
        <v>75</v>
      </c>
    </row>
  </sheetData>
  <conditionalFormatting sqref="P5:P43">
    <cfRule type="cellIs" dxfId="2" priority="2" operator="equal">
      <formula>"Inactive"</formula>
    </cfRule>
    <cfRule type="cellIs" dxfId="1" priority="3" operator="equal">
      <formula>"Active"</formula>
    </cfRule>
  </conditionalFormatting>
  <conditionalFormatting pivot="1" sqref="B5:O44">
    <cfRule type="cellIs" dxfId="0" priority="1" operator="equal">
      <formula>1</formula>
    </cfRule>
  </conditionalFormatting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4213E-34CC-4F90-B57F-4866F13CCDC4}">
  <dimension ref="A2:K83"/>
  <sheetViews>
    <sheetView workbookViewId="0">
      <selection activeCell="B12" sqref="B12"/>
    </sheetView>
  </sheetViews>
  <sheetFormatPr defaultRowHeight="15"/>
  <cols>
    <col min="1" max="1" width="23.5703125" bestFit="1" customWidth="1"/>
    <col min="2" max="2" width="21.42578125" bestFit="1" customWidth="1"/>
    <col min="3" max="3" width="19.140625" bestFit="1" customWidth="1"/>
    <col min="4" max="4" width="14.140625" customWidth="1"/>
    <col min="5" max="5" width="11.5703125" customWidth="1"/>
    <col min="6" max="6" width="12.5703125" customWidth="1"/>
    <col min="7" max="7" width="13.5703125" customWidth="1"/>
    <col min="8" max="8" width="7.85546875" customWidth="1"/>
    <col min="9" max="9" width="7.140625" customWidth="1"/>
    <col min="11" max="11" width="25.7109375" customWidth="1"/>
  </cols>
  <sheetData>
    <row r="2" spans="1:11">
      <c r="F2" s="5">
        <f ca="1">TODAY()</f>
        <v>45986</v>
      </c>
    </row>
    <row r="3" spans="1:11">
      <c r="A3" s="55" t="s">
        <v>7</v>
      </c>
      <c r="B3" t="s">
        <v>65</v>
      </c>
      <c r="C3">
        <f>C40</f>
        <v>0</v>
      </c>
    </row>
    <row r="4" spans="1:11">
      <c r="K4" s="57">
        <f>SUM(K6:K800)</f>
        <v>36900</v>
      </c>
    </row>
    <row r="5" spans="1:11">
      <c r="A5" s="55" t="s">
        <v>4</v>
      </c>
      <c r="B5" t="s">
        <v>524</v>
      </c>
      <c r="C5" t="s">
        <v>525</v>
      </c>
      <c r="D5" s="57" t="s">
        <v>526</v>
      </c>
      <c r="E5" s="57" t="s">
        <v>14</v>
      </c>
      <c r="F5" s="57" t="s">
        <v>24</v>
      </c>
      <c r="G5" t="s">
        <v>527</v>
      </c>
      <c r="H5" t="s">
        <v>528</v>
      </c>
      <c r="I5" t="s">
        <v>529</v>
      </c>
      <c r="J5" t="s">
        <v>30</v>
      </c>
      <c r="K5" t="s">
        <v>530</v>
      </c>
    </row>
    <row r="6" spans="1:11">
      <c r="A6" t="s">
        <v>205</v>
      </c>
      <c r="B6" s="93">
        <v>1</v>
      </c>
      <c r="C6" s="93"/>
      <c r="D6" s="56" t="e">
        <f>VLOOKUP(A6,'Student Master'!H:AB,8,0)</f>
        <v>#N/A</v>
      </c>
      <c r="E6" t="e">
        <f>VLOOKUP(A6,'Student Master'!H:AB,9,0)</f>
        <v>#N/A</v>
      </c>
      <c r="F6" t="e">
        <f>VLOOKUP(A6,'Student Master'!H:AB,17,0)</f>
        <v>#N/A</v>
      </c>
      <c r="G6" s="58" t="e">
        <f t="shared" ref="G6:G46" ca="1" si="0">$F$2-D6</f>
        <v>#N/A</v>
      </c>
      <c r="H6" s="59">
        <v>6</v>
      </c>
      <c r="K6">
        <v>0</v>
      </c>
    </row>
    <row r="7" spans="1:11">
      <c r="A7" t="s">
        <v>339</v>
      </c>
      <c r="B7" s="93">
        <v>1</v>
      </c>
      <c r="C7" s="93"/>
      <c r="D7" s="56" t="e">
        <f>VLOOKUP(A7,'Student Master'!H:AB,8,0)</f>
        <v>#N/A</v>
      </c>
      <c r="E7" t="e">
        <f>VLOOKUP(A7,'Student Master'!H:AB,9,0)</f>
        <v>#N/A</v>
      </c>
      <c r="F7" t="e">
        <f>VLOOKUP(A7,'Student Master'!H:AB,17,0)</f>
        <v>#N/A</v>
      </c>
      <c r="G7" s="58" t="e">
        <f t="shared" ca="1" si="0"/>
        <v>#N/A</v>
      </c>
      <c r="H7" s="59">
        <v>6</v>
      </c>
      <c r="K7">
        <v>0</v>
      </c>
    </row>
    <row r="8" spans="1:11">
      <c r="A8" t="s">
        <v>161</v>
      </c>
      <c r="B8" s="93">
        <v>1</v>
      </c>
      <c r="C8" s="93"/>
      <c r="D8" s="56" t="e">
        <f>VLOOKUP(A8,'Student Master'!H:AB,8,0)</f>
        <v>#N/A</v>
      </c>
      <c r="E8" t="e">
        <f>VLOOKUP(A8,'Student Master'!H:AB,9,0)</f>
        <v>#N/A</v>
      </c>
      <c r="F8" t="e">
        <f>VLOOKUP(A8,'Student Master'!H:AB,17,0)</f>
        <v>#N/A</v>
      </c>
      <c r="G8" s="58" t="e">
        <f t="shared" ca="1" si="0"/>
        <v>#N/A</v>
      </c>
      <c r="H8" s="59">
        <v>6</v>
      </c>
      <c r="K8">
        <v>0</v>
      </c>
    </row>
    <row r="9" spans="1:11">
      <c r="A9" t="s">
        <v>136</v>
      </c>
      <c r="B9" s="93">
        <v>1</v>
      </c>
      <c r="C9" s="93">
        <v>4000</v>
      </c>
      <c r="D9" s="56" t="e">
        <f>VLOOKUP(A9,'Student Master'!H:AB,8,0)</f>
        <v>#N/A</v>
      </c>
      <c r="E9" t="e">
        <f>VLOOKUP(A9,'Student Master'!H:AB,9,0)</f>
        <v>#N/A</v>
      </c>
      <c r="F9" t="e">
        <f>VLOOKUP(A9,'Student Master'!H:AB,17,0)</f>
        <v>#N/A</v>
      </c>
      <c r="G9" s="58" t="e">
        <f t="shared" ca="1" si="0"/>
        <v>#N/A</v>
      </c>
      <c r="H9" s="59">
        <v>6</v>
      </c>
      <c r="K9">
        <v>0</v>
      </c>
    </row>
    <row r="10" spans="1:11">
      <c r="A10" t="s">
        <v>246</v>
      </c>
      <c r="B10" s="93">
        <v>1</v>
      </c>
      <c r="C10" s="93">
        <v>1200</v>
      </c>
      <c r="D10" s="56" t="e">
        <f>VLOOKUP(A10,'Student Master'!H:AB,8,0)</f>
        <v>#N/A</v>
      </c>
      <c r="E10" t="e">
        <f>VLOOKUP(A10,'Student Master'!H:AB,9,0)</f>
        <v>#N/A</v>
      </c>
      <c r="F10" t="e">
        <f>VLOOKUP(A10,'Student Master'!H:AB,17,0)</f>
        <v>#N/A</v>
      </c>
      <c r="G10" s="58" t="e">
        <f t="shared" ca="1" si="0"/>
        <v>#N/A</v>
      </c>
      <c r="H10" s="59">
        <v>6</v>
      </c>
      <c r="K10">
        <v>0</v>
      </c>
    </row>
    <row r="11" spans="1:11">
      <c r="A11" t="s">
        <v>233</v>
      </c>
      <c r="B11" s="93">
        <v>1</v>
      </c>
      <c r="C11" s="93">
        <v>3600</v>
      </c>
      <c r="D11" s="56" t="e">
        <f>VLOOKUP(A11,'Student Master'!H:AB,8,0)</f>
        <v>#N/A</v>
      </c>
      <c r="E11" t="e">
        <f>VLOOKUP(A11,'Student Master'!H:AB,9,0)</f>
        <v>#N/A</v>
      </c>
      <c r="F11" t="e">
        <f>VLOOKUP(A11,'Student Master'!H:AB,17,0)</f>
        <v>#N/A</v>
      </c>
      <c r="G11" s="58" t="e">
        <f t="shared" ca="1" si="0"/>
        <v>#N/A</v>
      </c>
      <c r="H11" s="59">
        <v>6</v>
      </c>
      <c r="K11">
        <v>0</v>
      </c>
    </row>
    <row r="12" spans="1:11">
      <c r="A12" t="s">
        <v>99</v>
      </c>
      <c r="B12" s="93">
        <v>1</v>
      </c>
      <c r="C12" s="93"/>
      <c r="D12" s="56" t="e">
        <f>VLOOKUP(A12,'Student Master'!H:AB,8,0)</f>
        <v>#N/A</v>
      </c>
      <c r="E12" t="e">
        <f>VLOOKUP(A12,'Student Master'!H:AB,9,0)</f>
        <v>#N/A</v>
      </c>
      <c r="F12" t="e">
        <f>VLOOKUP(A12,'Student Master'!H:AB,17,0)</f>
        <v>#N/A</v>
      </c>
      <c r="G12" s="58" t="e">
        <f t="shared" ca="1" si="0"/>
        <v>#N/A</v>
      </c>
      <c r="H12" s="59">
        <v>6</v>
      </c>
      <c r="K12">
        <v>0</v>
      </c>
    </row>
    <row r="13" spans="1:11">
      <c r="A13" t="s">
        <v>327</v>
      </c>
      <c r="B13" s="93">
        <v>1</v>
      </c>
      <c r="C13" s="93"/>
      <c r="D13" s="56" t="e">
        <f>VLOOKUP(A13,'Student Master'!H:AB,8,0)</f>
        <v>#N/A</v>
      </c>
      <c r="E13" t="e">
        <f>VLOOKUP(A13,'Student Master'!H:AB,9,0)</f>
        <v>#N/A</v>
      </c>
      <c r="F13" t="e">
        <f>VLOOKUP(A13,'Student Master'!H:AB,17,0)</f>
        <v>#N/A</v>
      </c>
      <c r="G13" s="58" t="e">
        <f t="shared" ca="1" si="0"/>
        <v>#N/A</v>
      </c>
      <c r="H13" s="59">
        <v>6</v>
      </c>
      <c r="K13">
        <v>0</v>
      </c>
    </row>
    <row r="14" spans="1:11">
      <c r="A14" t="s">
        <v>157</v>
      </c>
      <c r="B14" s="93">
        <v>1</v>
      </c>
      <c r="C14" s="93">
        <v>3600</v>
      </c>
      <c r="D14" s="56" t="e">
        <f>VLOOKUP(A14,'Student Master'!H:AB,8,0)</f>
        <v>#N/A</v>
      </c>
      <c r="E14" t="e">
        <f>VLOOKUP(A14,'Student Master'!H:AB,9,0)</f>
        <v>#N/A</v>
      </c>
      <c r="F14" t="e">
        <f>VLOOKUP(A14,'Student Master'!H:AB,17,0)</f>
        <v>#N/A</v>
      </c>
      <c r="G14" s="58" t="e">
        <f t="shared" ca="1" si="0"/>
        <v>#N/A</v>
      </c>
      <c r="H14" s="59">
        <v>6</v>
      </c>
      <c r="K14">
        <v>0</v>
      </c>
    </row>
    <row r="15" spans="1:11">
      <c r="A15" t="s">
        <v>318</v>
      </c>
      <c r="B15" s="93">
        <v>1</v>
      </c>
      <c r="C15" s="93"/>
      <c r="D15" s="56" t="e">
        <f>VLOOKUP(A15,'Student Master'!H:AB,8,0)</f>
        <v>#N/A</v>
      </c>
      <c r="E15" t="e">
        <f>VLOOKUP(A15,'Student Master'!H:AB,9,0)</f>
        <v>#N/A</v>
      </c>
      <c r="F15" t="e">
        <f>VLOOKUP(A15,'Student Master'!H:AB,17,0)</f>
        <v>#N/A</v>
      </c>
      <c r="G15" s="58" t="e">
        <f t="shared" ca="1" si="0"/>
        <v>#N/A</v>
      </c>
      <c r="H15" s="59">
        <v>6</v>
      </c>
      <c r="K15">
        <v>0</v>
      </c>
    </row>
    <row r="16" spans="1:11">
      <c r="A16" t="s">
        <v>299</v>
      </c>
      <c r="B16" s="93">
        <v>1</v>
      </c>
      <c r="C16" s="93"/>
      <c r="D16" s="56" t="e">
        <f>VLOOKUP(A16,'Student Master'!H:AB,8,0)</f>
        <v>#N/A</v>
      </c>
      <c r="E16" t="e">
        <f>VLOOKUP(A16,'Student Master'!H:AB,9,0)</f>
        <v>#N/A</v>
      </c>
      <c r="F16" t="e">
        <f>VLOOKUP(A16,'Student Master'!H:AB,17,0)</f>
        <v>#N/A</v>
      </c>
      <c r="G16" s="58" t="e">
        <f t="shared" ca="1" si="0"/>
        <v>#N/A</v>
      </c>
      <c r="H16" s="59">
        <v>6</v>
      </c>
      <c r="K16">
        <v>0</v>
      </c>
    </row>
    <row r="17" spans="1:11">
      <c r="A17" t="s">
        <v>302</v>
      </c>
      <c r="B17" s="93">
        <v>1</v>
      </c>
      <c r="C17" s="93"/>
      <c r="D17" s="56" t="e">
        <f>VLOOKUP(A17,'Student Master'!H:AB,8,0)</f>
        <v>#N/A</v>
      </c>
      <c r="E17" t="e">
        <f>VLOOKUP(A17,'Student Master'!H:AB,9,0)</f>
        <v>#N/A</v>
      </c>
      <c r="F17" t="e">
        <f>VLOOKUP(A17,'Student Master'!H:AB,17,0)</f>
        <v>#N/A</v>
      </c>
      <c r="G17" s="58" t="e">
        <f t="shared" ca="1" si="0"/>
        <v>#N/A</v>
      </c>
      <c r="H17" s="59">
        <v>6</v>
      </c>
      <c r="K17">
        <v>0</v>
      </c>
    </row>
    <row r="18" spans="1:11">
      <c r="A18" t="s">
        <v>269</v>
      </c>
      <c r="B18" s="93">
        <v>1</v>
      </c>
      <c r="C18" s="93">
        <v>4800</v>
      </c>
      <c r="D18" s="56" t="e">
        <f>VLOOKUP(A18,'Student Master'!H:AB,8,0)</f>
        <v>#N/A</v>
      </c>
      <c r="E18" t="e">
        <f>VLOOKUP(A18,'Student Master'!H:AB,9,0)</f>
        <v>#N/A</v>
      </c>
      <c r="F18" t="e">
        <f>VLOOKUP(A18,'Student Master'!H:AB,17,0)</f>
        <v>#N/A</v>
      </c>
      <c r="G18" s="58" t="e">
        <f t="shared" ca="1" si="0"/>
        <v>#N/A</v>
      </c>
      <c r="H18" s="59">
        <v>6</v>
      </c>
      <c r="K18">
        <v>0</v>
      </c>
    </row>
    <row r="19" spans="1:11">
      <c r="A19" t="s">
        <v>173</v>
      </c>
      <c r="B19" s="93">
        <v>1</v>
      </c>
      <c r="C19" s="93"/>
      <c r="D19" s="56" t="e">
        <f>VLOOKUP(A19,'Student Master'!H:AB,8,0)</f>
        <v>#N/A</v>
      </c>
      <c r="E19" t="e">
        <f>VLOOKUP(A19,'Student Master'!H:AB,9,0)</f>
        <v>#N/A</v>
      </c>
      <c r="F19" t="e">
        <f>VLOOKUP(A19,'Student Master'!H:AB,17,0)</f>
        <v>#N/A</v>
      </c>
      <c r="G19" s="58" t="e">
        <f t="shared" ca="1" si="0"/>
        <v>#N/A</v>
      </c>
      <c r="H19" s="59">
        <v>6</v>
      </c>
      <c r="K19">
        <v>0</v>
      </c>
    </row>
    <row r="20" spans="1:11">
      <c r="A20" t="s">
        <v>250</v>
      </c>
      <c r="B20" s="93">
        <v>1</v>
      </c>
      <c r="C20" s="93">
        <v>3600</v>
      </c>
      <c r="D20" s="56" t="e">
        <f>VLOOKUP(A20,'Student Master'!H:AB,8,0)</f>
        <v>#N/A</v>
      </c>
      <c r="E20" t="e">
        <f>VLOOKUP(A20,'Student Master'!H:AB,9,0)</f>
        <v>#N/A</v>
      </c>
      <c r="F20" t="e">
        <f>VLOOKUP(A20,'Student Master'!H:AB,17,0)</f>
        <v>#N/A</v>
      </c>
      <c r="G20" s="58" t="e">
        <f t="shared" ca="1" si="0"/>
        <v>#N/A</v>
      </c>
      <c r="H20" s="59">
        <v>6</v>
      </c>
      <c r="K20">
        <v>0</v>
      </c>
    </row>
    <row r="21" spans="1:11">
      <c r="A21" t="s">
        <v>313</v>
      </c>
      <c r="B21" s="93">
        <v>1</v>
      </c>
      <c r="C21" s="93">
        <v>1600</v>
      </c>
      <c r="D21" s="56" t="e">
        <f>VLOOKUP(A21,'Student Master'!H:AB,8,0)</f>
        <v>#N/A</v>
      </c>
      <c r="E21" t="e">
        <f>VLOOKUP(A21,'Student Master'!H:AB,9,0)</f>
        <v>#N/A</v>
      </c>
      <c r="F21" t="e">
        <f>VLOOKUP(A21,'Student Master'!H:AB,17,0)</f>
        <v>#N/A</v>
      </c>
      <c r="G21" s="58" t="e">
        <f t="shared" ca="1" si="0"/>
        <v>#N/A</v>
      </c>
      <c r="H21" s="59">
        <v>6</v>
      </c>
      <c r="K21">
        <v>0</v>
      </c>
    </row>
    <row r="22" spans="1:11">
      <c r="A22" t="s">
        <v>330</v>
      </c>
      <c r="B22" s="93">
        <v>1</v>
      </c>
      <c r="C22" s="93">
        <v>3600</v>
      </c>
      <c r="D22" s="56" t="e">
        <f>VLOOKUP(A22,'Student Master'!H:AB,8,0)</f>
        <v>#N/A</v>
      </c>
      <c r="E22" t="e">
        <f>VLOOKUP(A22,'Student Master'!H:AB,9,0)</f>
        <v>#N/A</v>
      </c>
      <c r="F22" t="e">
        <f>VLOOKUP(A22,'Student Master'!H:AB,17,0)</f>
        <v>#N/A</v>
      </c>
      <c r="G22" s="58" t="e">
        <f t="shared" ca="1" si="0"/>
        <v>#N/A</v>
      </c>
      <c r="H22" s="59">
        <v>6</v>
      </c>
      <c r="K22">
        <v>0</v>
      </c>
    </row>
    <row r="23" spans="1:11">
      <c r="A23" t="s">
        <v>226</v>
      </c>
      <c r="B23" s="93">
        <v>1</v>
      </c>
      <c r="C23" s="93">
        <v>4800</v>
      </c>
      <c r="D23" s="56" t="e">
        <f>VLOOKUP(A23,'Student Master'!H:AB,8,0)</f>
        <v>#N/A</v>
      </c>
      <c r="E23" t="e">
        <f>VLOOKUP(A23,'Student Master'!H:AB,9,0)</f>
        <v>#N/A</v>
      </c>
      <c r="F23" t="e">
        <f>VLOOKUP(A23,'Student Master'!H:AB,17,0)</f>
        <v>#N/A</v>
      </c>
      <c r="G23" s="58" t="e">
        <f t="shared" ca="1" si="0"/>
        <v>#N/A</v>
      </c>
      <c r="H23" s="59">
        <v>6</v>
      </c>
      <c r="K23">
        <v>0</v>
      </c>
    </row>
    <row r="24" spans="1:11">
      <c r="A24" t="s">
        <v>223</v>
      </c>
      <c r="B24" s="93">
        <v>1</v>
      </c>
      <c r="C24" s="93">
        <v>2400</v>
      </c>
      <c r="D24" s="56" t="e">
        <f>VLOOKUP(A24,'Student Master'!H:AB,8,0)</f>
        <v>#N/A</v>
      </c>
      <c r="E24" t="e">
        <f>VLOOKUP(A24,'Student Master'!H:AB,9,0)</f>
        <v>#N/A</v>
      </c>
      <c r="F24" t="e">
        <f>VLOOKUP(A24,'Student Master'!H:AB,17,0)</f>
        <v>#N/A</v>
      </c>
      <c r="G24" s="58" t="e">
        <f t="shared" ca="1" si="0"/>
        <v>#N/A</v>
      </c>
      <c r="H24" s="59">
        <v>6</v>
      </c>
      <c r="K24">
        <v>0</v>
      </c>
    </row>
    <row r="25" spans="1:11">
      <c r="A25" t="s">
        <v>49</v>
      </c>
      <c r="B25" s="93">
        <v>1</v>
      </c>
      <c r="C25" s="93">
        <v>3600</v>
      </c>
      <c r="D25" s="56" t="e">
        <f>VLOOKUP(A25,'Student Master'!H:AB,8,0)</f>
        <v>#N/A</v>
      </c>
      <c r="E25" t="e">
        <f>VLOOKUP(A25,'Student Master'!H:AB,9,0)</f>
        <v>#N/A</v>
      </c>
      <c r="F25" t="e">
        <f>VLOOKUP(A25,'Student Master'!H:AB,17,0)</f>
        <v>#N/A</v>
      </c>
      <c r="G25" s="58" t="e">
        <f t="shared" ca="1" si="0"/>
        <v>#N/A</v>
      </c>
      <c r="H25" s="59">
        <v>6</v>
      </c>
      <c r="K25">
        <v>0</v>
      </c>
    </row>
    <row r="26" spans="1:11">
      <c r="A26" t="s">
        <v>167</v>
      </c>
      <c r="B26" s="93">
        <v>1</v>
      </c>
      <c r="C26" s="93"/>
      <c r="D26" s="56" t="e">
        <f>VLOOKUP(A26,'Student Master'!H:AB,8,0)</f>
        <v>#N/A</v>
      </c>
      <c r="E26" t="e">
        <f>VLOOKUP(A26,'Student Master'!H:AB,9,0)</f>
        <v>#N/A</v>
      </c>
      <c r="F26" t="e">
        <f>VLOOKUP(A26,'Student Master'!H:AB,17,0)</f>
        <v>#N/A</v>
      </c>
      <c r="G26" s="58" t="e">
        <f t="shared" ca="1" si="0"/>
        <v>#N/A</v>
      </c>
      <c r="H26" s="59"/>
      <c r="K26">
        <v>1200</v>
      </c>
    </row>
    <row r="27" spans="1:11">
      <c r="A27" t="s">
        <v>291</v>
      </c>
      <c r="B27" s="93">
        <v>1</v>
      </c>
      <c r="C27" s="93"/>
      <c r="D27" s="56" t="e">
        <f>VLOOKUP(A27,'Student Master'!H:AB,8,0)</f>
        <v>#N/A</v>
      </c>
      <c r="E27" t="e">
        <f>VLOOKUP(A27,'Student Master'!H:AB,9,0)</f>
        <v>#N/A</v>
      </c>
      <c r="F27" t="e">
        <f>VLOOKUP(A27,'Student Master'!H:AB,17,0)</f>
        <v>#N/A</v>
      </c>
      <c r="G27" s="58" t="e">
        <f t="shared" ca="1" si="0"/>
        <v>#N/A</v>
      </c>
      <c r="H27" s="59"/>
      <c r="K27">
        <v>1200</v>
      </c>
    </row>
    <row r="28" spans="1:11">
      <c r="A28" t="s">
        <v>310</v>
      </c>
      <c r="B28" s="93">
        <v>1</v>
      </c>
      <c r="C28" s="93"/>
      <c r="D28" s="56" t="e">
        <f>VLOOKUP(A28,'Student Master'!H:AB,8,0)</f>
        <v>#N/A</v>
      </c>
      <c r="E28" t="e">
        <f>VLOOKUP(A28,'Student Master'!H:AB,9,0)</f>
        <v>#N/A</v>
      </c>
      <c r="F28" t="e">
        <f>VLOOKUP(A28,'Student Master'!H:AB,17,0)</f>
        <v>#N/A</v>
      </c>
      <c r="G28" s="58" t="e">
        <f t="shared" ca="1" si="0"/>
        <v>#N/A</v>
      </c>
      <c r="H28" s="59"/>
      <c r="K28">
        <v>1200</v>
      </c>
    </row>
    <row r="29" spans="1:11">
      <c r="A29" t="s">
        <v>147</v>
      </c>
      <c r="B29" s="93">
        <v>1</v>
      </c>
      <c r="C29" s="93">
        <v>3600</v>
      </c>
      <c r="D29" s="56" t="e">
        <f>VLOOKUP(A29,'Student Master'!H:AB,8,0)</f>
        <v>#N/A</v>
      </c>
      <c r="E29" t="e">
        <f>VLOOKUP(A29,'Student Master'!H:AB,9,0)</f>
        <v>#N/A</v>
      </c>
      <c r="F29" t="e">
        <f>VLOOKUP(A29,'Student Master'!H:AB,17,0)</f>
        <v>#N/A</v>
      </c>
      <c r="G29" s="58" t="e">
        <f t="shared" ca="1" si="0"/>
        <v>#N/A</v>
      </c>
      <c r="H29" s="59"/>
      <c r="K29">
        <v>1200</v>
      </c>
    </row>
    <row r="30" spans="1:11">
      <c r="A30" t="s">
        <v>105</v>
      </c>
      <c r="B30" s="93">
        <v>1</v>
      </c>
      <c r="C30" s="93">
        <v>3600</v>
      </c>
      <c r="D30" s="56" t="e">
        <f>VLOOKUP(A30,'Student Master'!H:AB,8,0)</f>
        <v>#N/A</v>
      </c>
      <c r="E30" t="e">
        <f>VLOOKUP(A30,'Student Master'!H:AB,9,0)</f>
        <v>#N/A</v>
      </c>
      <c r="F30" t="e">
        <f>VLOOKUP(A30,'Student Master'!H:AB,17,0)</f>
        <v>#N/A</v>
      </c>
      <c r="G30" s="58" t="e">
        <f t="shared" ca="1" si="0"/>
        <v>#N/A</v>
      </c>
      <c r="H30" s="59"/>
      <c r="K30">
        <v>1200</v>
      </c>
    </row>
    <row r="31" spans="1:11">
      <c r="A31" t="s">
        <v>193</v>
      </c>
      <c r="B31" s="93">
        <v>1</v>
      </c>
      <c r="C31" s="93">
        <v>3600</v>
      </c>
      <c r="D31" s="56" t="e">
        <f>VLOOKUP(A31,'Student Master'!H:AB,8,0)</f>
        <v>#N/A</v>
      </c>
      <c r="E31" t="e">
        <f>VLOOKUP(A31,'Student Master'!H:AB,9,0)</f>
        <v>#N/A</v>
      </c>
      <c r="F31" t="e">
        <f>VLOOKUP(A31,'Student Master'!H:AB,17,0)</f>
        <v>#N/A</v>
      </c>
      <c r="G31" s="58" t="e">
        <f t="shared" ca="1" si="0"/>
        <v>#N/A</v>
      </c>
      <c r="H31" s="59"/>
      <c r="K31">
        <v>1200</v>
      </c>
    </row>
    <row r="32" spans="1:11">
      <c r="A32" t="s">
        <v>229</v>
      </c>
      <c r="B32" s="93">
        <v>1</v>
      </c>
      <c r="C32" s="93">
        <v>3600</v>
      </c>
      <c r="D32" s="56" t="e">
        <f>VLOOKUP(A32,'Student Master'!H:AB,8,0)</f>
        <v>#N/A</v>
      </c>
      <c r="E32" t="e">
        <f>VLOOKUP(A32,'Student Master'!H:AB,9,0)</f>
        <v>#N/A</v>
      </c>
      <c r="F32" t="e">
        <f>VLOOKUP(A32,'Student Master'!H:AB,17,0)</f>
        <v>#N/A</v>
      </c>
      <c r="G32" s="58" t="e">
        <f t="shared" ca="1" si="0"/>
        <v>#N/A</v>
      </c>
      <c r="H32" s="59"/>
      <c r="K32">
        <v>1200</v>
      </c>
    </row>
    <row r="33" spans="1:11">
      <c r="A33" t="s">
        <v>201</v>
      </c>
      <c r="B33" s="93">
        <v>1</v>
      </c>
      <c r="C33" s="93">
        <v>1800</v>
      </c>
      <c r="D33" s="56" t="e">
        <f>VLOOKUP(A33,'Student Master'!H:AB,8,0)</f>
        <v>#N/A</v>
      </c>
      <c r="E33" t="e">
        <f>VLOOKUP(A33,'Student Master'!H:AB,9,0)</f>
        <v>#N/A</v>
      </c>
      <c r="F33" t="e">
        <f>VLOOKUP(A33,'Student Master'!H:AB,17,0)</f>
        <v>#N/A</v>
      </c>
      <c r="G33" s="58" t="e">
        <f t="shared" ca="1" si="0"/>
        <v>#N/A</v>
      </c>
      <c r="H33" s="59"/>
      <c r="K33">
        <v>1200</v>
      </c>
    </row>
    <row r="34" spans="1:11">
      <c r="A34" t="s">
        <v>332</v>
      </c>
      <c r="B34" s="93">
        <v>1</v>
      </c>
      <c r="C34" s="93"/>
      <c r="D34" s="56" t="e">
        <f>VLOOKUP(A34,'Student Master'!H:AB,8,0)</f>
        <v>#N/A</v>
      </c>
      <c r="E34" t="e">
        <f>VLOOKUP(A34,'Student Master'!H:AB,9,0)</f>
        <v>#N/A</v>
      </c>
      <c r="F34" t="e">
        <f>VLOOKUP(A34,'Student Master'!H:AB,17,0)</f>
        <v>#N/A</v>
      </c>
      <c r="G34" s="58" t="e">
        <f t="shared" ca="1" si="0"/>
        <v>#N/A</v>
      </c>
      <c r="H34" s="59"/>
      <c r="K34">
        <v>1200</v>
      </c>
    </row>
    <row r="35" spans="1:11">
      <c r="A35" t="s">
        <v>334</v>
      </c>
      <c r="B35" s="93">
        <v>1</v>
      </c>
      <c r="C35" s="93">
        <v>3250</v>
      </c>
      <c r="D35" s="56" t="e">
        <f>VLOOKUP(A35,'Student Master'!H:AB,8,0)</f>
        <v>#N/A</v>
      </c>
      <c r="E35" t="e">
        <f>VLOOKUP(A35,'Student Master'!H:AB,9,0)</f>
        <v>#N/A</v>
      </c>
      <c r="F35" t="e">
        <f>VLOOKUP(A35,'Student Master'!H:AB,17,0)</f>
        <v>#N/A</v>
      </c>
      <c r="G35" s="58" t="e">
        <f t="shared" ca="1" si="0"/>
        <v>#N/A</v>
      </c>
      <c r="H35" s="59"/>
      <c r="K35">
        <v>1200</v>
      </c>
    </row>
    <row r="36" spans="1:11">
      <c r="A36" t="s">
        <v>238</v>
      </c>
      <c r="B36" s="93">
        <v>1</v>
      </c>
      <c r="C36" s="93">
        <v>15600</v>
      </c>
      <c r="D36" s="56" t="e">
        <f>VLOOKUP(A36,'Student Master'!H:AB,8,0)</f>
        <v>#N/A</v>
      </c>
      <c r="E36" t="e">
        <f>VLOOKUP(A36,'Student Master'!H:AB,9,0)</f>
        <v>#N/A</v>
      </c>
      <c r="F36" t="e">
        <f>VLOOKUP(A36,'Student Master'!H:AB,17,0)</f>
        <v>#N/A</v>
      </c>
      <c r="G36" s="58" t="e">
        <f t="shared" ca="1" si="0"/>
        <v>#N/A</v>
      </c>
      <c r="H36" s="59"/>
      <c r="K36">
        <v>1200</v>
      </c>
    </row>
    <row r="37" spans="1:11">
      <c r="A37" t="s">
        <v>179</v>
      </c>
      <c r="B37" s="93">
        <v>1</v>
      </c>
      <c r="C37" s="93"/>
      <c r="D37" s="56" t="e">
        <f>VLOOKUP(A37,'Student Master'!H:AB,8,0)</f>
        <v>#N/A</v>
      </c>
      <c r="E37" t="e">
        <f>VLOOKUP(A37,'Student Master'!H:AB,9,0)</f>
        <v>#N/A</v>
      </c>
      <c r="F37" t="e">
        <f>VLOOKUP(A37,'Student Master'!H:AB,17,0)</f>
        <v>#N/A</v>
      </c>
      <c r="G37" s="58" t="e">
        <f t="shared" ca="1" si="0"/>
        <v>#N/A</v>
      </c>
      <c r="H37" s="59"/>
      <c r="K37">
        <v>1200</v>
      </c>
    </row>
    <row r="38" spans="1:11">
      <c r="A38" t="s">
        <v>307</v>
      </c>
      <c r="B38" s="93">
        <v>1</v>
      </c>
      <c r="C38" s="93">
        <v>2400</v>
      </c>
      <c r="D38" s="56" t="e">
        <f>VLOOKUP(A38,'Student Master'!H:AB,8,0)</f>
        <v>#N/A</v>
      </c>
      <c r="E38" t="e">
        <f>VLOOKUP(A38,'Student Master'!H:AB,9,0)</f>
        <v>#N/A</v>
      </c>
      <c r="F38" t="e">
        <f>VLOOKUP(A38,'Student Master'!H:AB,17,0)</f>
        <v>#N/A</v>
      </c>
      <c r="G38" s="58" t="e">
        <f t="shared" ca="1" si="0"/>
        <v>#N/A</v>
      </c>
      <c r="H38" s="59"/>
      <c r="K38">
        <v>2500</v>
      </c>
    </row>
    <row r="39" spans="1:11">
      <c r="A39" t="s">
        <v>320</v>
      </c>
      <c r="B39" s="93">
        <v>1</v>
      </c>
      <c r="C39" s="93">
        <v>3600</v>
      </c>
      <c r="D39" s="56" t="e">
        <f>VLOOKUP(A39,'Student Master'!H:AB,8,0)</f>
        <v>#N/A</v>
      </c>
      <c r="E39" t="e">
        <f>VLOOKUP(A39,'Student Master'!H:AB,9,0)</f>
        <v>#N/A</v>
      </c>
      <c r="F39" t="e">
        <f>VLOOKUP(A39,'Student Master'!H:AB,17,0)</f>
        <v>#N/A</v>
      </c>
      <c r="G39" s="58" t="e">
        <f t="shared" ca="1" si="0"/>
        <v>#N/A</v>
      </c>
      <c r="H39" s="59"/>
      <c r="K39">
        <v>2500</v>
      </c>
    </row>
    <row r="40" spans="1:11">
      <c r="A40" t="s">
        <v>255</v>
      </c>
      <c r="B40" s="93">
        <v>1</v>
      </c>
      <c r="C40" s="93"/>
      <c r="D40" s="56" t="e">
        <f>VLOOKUP(A40,'Student Master'!H:AB,8,0)</f>
        <v>#N/A</v>
      </c>
      <c r="E40" t="e">
        <f>VLOOKUP(A40,'Student Master'!H:AB,9,0)</f>
        <v>#N/A</v>
      </c>
      <c r="F40" t="e">
        <f>VLOOKUP(A40,'Student Master'!H:AB,17,0)</f>
        <v>#N/A</v>
      </c>
      <c r="G40" s="58" t="e">
        <f t="shared" ca="1" si="0"/>
        <v>#N/A</v>
      </c>
      <c r="H40" s="59"/>
      <c r="K40">
        <v>2500</v>
      </c>
    </row>
    <row r="41" spans="1:11">
      <c r="A41" t="s">
        <v>263</v>
      </c>
      <c r="B41" s="93">
        <v>1</v>
      </c>
      <c r="C41" s="93"/>
      <c r="D41" s="56" t="e">
        <f>VLOOKUP(A41,'Student Master'!H:AB,8,0)</f>
        <v>#N/A</v>
      </c>
      <c r="E41" t="e">
        <f>VLOOKUP(A41,'Student Master'!H:AB,9,0)</f>
        <v>#N/A</v>
      </c>
      <c r="F41" t="e">
        <f>VLOOKUP(A41,'Student Master'!H:AB,17,0)</f>
        <v>#N/A</v>
      </c>
      <c r="G41" s="58" t="e">
        <f t="shared" ca="1" si="0"/>
        <v>#N/A</v>
      </c>
      <c r="H41" s="59"/>
      <c r="K41">
        <v>2500</v>
      </c>
    </row>
    <row r="42" spans="1:11">
      <c r="A42" t="s">
        <v>325</v>
      </c>
      <c r="B42" s="93">
        <v>1</v>
      </c>
      <c r="C42" s="93"/>
      <c r="D42" s="56" t="e">
        <f>VLOOKUP(A42,'Student Master'!H:AB,8,0)</f>
        <v>#N/A</v>
      </c>
      <c r="E42" t="e">
        <f>VLOOKUP(A42,'Student Master'!H:AB,9,0)</f>
        <v>#N/A</v>
      </c>
      <c r="F42" t="e">
        <f>VLOOKUP(A42,'Student Master'!H:AB,17,0)</f>
        <v>#N/A</v>
      </c>
      <c r="G42" s="58" t="e">
        <f t="shared" ca="1" si="0"/>
        <v>#N/A</v>
      </c>
      <c r="H42" s="59"/>
      <c r="K42">
        <v>2500</v>
      </c>
    </row>
    <row r="43" spans="1:11">
      <c r="A43" t="s">
        <v>287</v>
      </c>
      <c r="B43" s="93">
        <v>1</v>
      </c>
      <c r="C43" s="93"/>
      <c r="D43" s="56" t="e">
        <f>VLOOKUP(A43,'Student Master'!H:AB,8,0)</f>
        <v>#N/A</v>
      </c>
      <c r="E43" t="e">
        <f>VLOOKUP(A43,'Student Master'!H:AB,9,0)</f>
        <v>#N/A</v>
      </c>
      <c r="F43" t="e">
        <f>VLOOKUP(A43,'Student Master'!H:AB,17,0)</f>
        <v>#N/A</v>
      </c>
      <c r="G43" s="58" t="e">
        <f t="shared" ca="1" si="0"/>
        <v>#N/A</v>
      </c>
      <c r="H43" s="59"/>
      <c r="K43">
        <v>2500</v>
      </c>
    </row>
    <row r="44" spans="1:11">
      <c r="A44" t="s">
        <v>322</v>
      </c>
      <c r="B44" s="93">
        <v>1</v>
      </c>
      <c r="C44" s="93"/>
      <c r="D44" s="56" t="e">
        <f>VLOOKUP(A44,'Student Master'!H:AB,8,0)</f>
        <v>#N/A</v>
      </c>
      <c r="E44" t="e">
        <f>VLOOKUP(A44,'Student Master'!H:AB,9,0)</f>
        <v>#N/A</v>
      </c>
      <c r="F44" t="e">
        <f>VLOOKUP(A44,'Student Master'!H:AB,17,0)</f>
        <v>#N/A</v>
      </c>
      <c r="G44" s="58" t="e">
        <f t="shared" ca="1" si="0"/>
        <v>#N/A</v>
      </c>
      <c r="H44" s="59"/>
      <c r="K44">
        <v>2500</v>
      </c>
    </row>
    <row r="45" spans="1:11">
      <c r="A45" t="s">
        <v>341</v>
      </c>
      <c r="B45" s="93">
        <v>1</v>
      </c>
      <c r="C45" s="93"/>
      <c r="D45" s="56" t="e">
        <f>VLOOKUP(A45,'Student Master'!H:AB,8,0)</f>
        <v>#N/A</v>
      </c>
      <c r="E45" t="e">
        <f>VLOOKUP(A45,'Student Master'!H:AB,9,0)</f>
        <v>#N/A</v>
      </c>
      <c r="F45" t="e">
        <f>VLOOKUP(A45,'Student Master'!H:AB,17,0)</f>
        <v>#N/A</v>
      </c>
      <c r="G45" s="58" t="e">
        <f t="shared" ca="1" si="0"/>
        <v>#N/A</v>
      </c>
      <c r="H45" s="59"/>
      <c r="K45">
        <v>2500</v>
      </c>
    </row>
    <row r="46" spans="1:11">
      <c r="A46" t="s">
        <v>344</v>
      </c>
      <c r="B46" s="93">
        <v>1</v>
      </c>
      <c r="C46" s="93"/>
      <c r="D46" s="56" t="e">
        <f>VLOOKUP(A46,'Student Master'!H:AB,8,0)</f>
        <v>#N/A</v>
      </c>
      <c r="E46" t="e">
        <f>VLOOKUP(A46,'Student Master'!H:AB,9,0)</f>
        <v>#N/A</v>
      </c>
      <c r="F46" t="e">
        <f>VLOOKUP(A46,'Student Master'!H:AB,17,0)</f>
        <v>#N/A</v>
      </c>
      <c r="G46" s="58" t="e">
        <f t="shared" ca="1" si="0"/>
        <v>#N/A</v>
      </c>
      <c r="H46" s="59"/>
      <c r="K46">
        <v>2500</v>
      </c>
    </row>
    <row r="47" spans="1:11">
      <c r="A47" t="s">
        <v>346</v>
      </c>
      <c r="B47" s="93">
        <v>1</v>
      </c>
      <c r="C47" s="93">
        <v>3600</v>
      </c>
    </row>
    <row r="48" spans="1:11">
      <c r="A48" t="s">
        <v>348</v>
      </c>
      <c r="B48" s="93">
        <v>1</v>
      </c>
      <c r="C48" s="93"/>
    </row>
    <row r="49" spans="1:3">
      <c r="A49" t="s">
        <v>351</v>
      </c>
      <c r="B49" s="93">
        <v>1</v>
      </c>
      <c r="C49" s="93"/>
    </row>
    <row r="50" spans="1:3">
      <c r="A50" t="s">
        <v>353</v>
      </c>
      <c r="B50" s="93">
        <v>1</v>
      </c>
      <c r="C50" s="93">
        <v>3600</v>
      </c>
    </row>
    <row r="51" spans="1:3">
      <c r="A51" t="s">
        <v>359</v>
      </c>
      <c r="B51" s="93">
        <v>1</v>
      </c>
      <c r="C51" s="93"/>
    </row>
    <row r="52" spans="1:3">
      <c r="A52" t="s">
        <v>364</v>
      </c>
      <c r="B52" s="93">
        <v>1</v>
      </c>
      <c r="C52" s="93"/>
    </row>
    <row r="53" spans="1:3">
      <c r="A53" t="s">
        <v>369</v>
      </c>
      <c r="B53" s="93">
        <v>1</v>
      </c>
      <c r="C53" s="93"/>
    </row>
    <row r="54" spans="1:3">
      <c r="A54" t="s">
        <v>372</v>
      </c>
      <c r="B54" s="93">
        <v>1</v>
      </c>
      <c r="C54" s="93">
        <v>3600</v>
      </c>
    </row>
    <row r="55" spans="1:3">
      <c r="A55" t="s">
        <v>374</v>
      </c>
      <c r="B55" s="93">
        <v>1</v>
      </c>
      <c r="C55" s="93">
        <v>3600</v>
      </c>
    </row>
    <row r="56" spans="1:3">
      <c r="A56" t="s">
        <v>376</v>
      </c>
      <c r="B56" s="93">
        <v>1</v>
      </c>
      <c r="C56" s="93">
        <v>3600</v>
      </c>
    </row>
    <row r="57" spans="1:3">
      <c r="A57" t="s">
        <v>378</v>
      </c>
      <c r="B57" s="93">
        <v>1</v>
      </c>
      <c r="C57" s="93">
        <v>3600</v>
      </c>
    </row>
    <row r="58" spans="1:3">
      <c r="A58" t="s">
        <v>381</v>
      </c>
      <c r="B58" s="93">
        <v>1</v>
      </c>
      <c r="C58" s="93">
        <v>2400</v>
      </c>
    </row>
    <row r="59" spans="1:3">
      <c r="A59" t="s">
        <v>383</v>
      </c>
      <c r="B59" s="93">
        <v>1</v>
      </c>
      <c r="C59" s="93">
        <v>2400</v>
      </c>
    </row>
    <row r="60" spans="1:3">
      <c r="A60" t="s">
        <v>385</v>
      </c>
      <c r="B60" s="93">
        <v>1</v>
      </c>
      <c r="C60" s="93">
        <v>2400</v>
      </c>
    </row>
    <row r="61" spans="1:3">
      <c r="A61" t="s">
        <v>390</v>
      </c>
      <c r="B61" s="93">
        <v>1</v>
      </c>
      <c r="C61" s="93"/>
    </row>
    <row r="62" spans="1:3">
      <c r="A62" t="s">
        <v>392</v>
      </c>
      <c r="B62" s="93">
        <v>1</v>
      </c>
      <c r="C62" s="93"/>
    </row>
    <row r="63" spans="1:3">
      <c r="A63" t="s">
        <v>394</v>
      </c>
      <c r="B63" s="93">
        <v>1</v>
      </c>
      <c r="C63" s="93">
        <v>4800</v>
      </c>
    </row>
    <row r="64" spans="1:3">
      <c r="A64" t="s">
        <v>396</v>
      </c>
      <c r="B64" s="93">
        <v>1</v>
      </c>
      <c r="C64" s="93">
        <v>1200</v>
      </c>
    </row>
    <row r="65" spans="1:3">
      <c r="A65" t="s">
        <v>399</v>
      </c>
      <c r="B65" s="93">
        <v>1</v>
      </c>
      <c r="C65" s="93">
        <v>1200</v>
      </c>
    </row>
    <row r="66" spans="1:3">
      <c r="A66" t="s">
        <v>402</v>
      </c>
      <c r="B66" s="93">
        <v>1</v>
      </c>
      <c r="C66" s="93"/>
    </row>
    <row r="67" spans="1:3">
      <c r="A67" t="s">
        <v>404</v>
      </c>
      <c r="B67" s="93">
        <v>1</v>
      </c>
      <c r="C67" s="93"/>
    </row>
    <row r="68" spans="1:3">
      <c r="A68" t="s">
        <v>407</v>
      </c>
      <c r="B68" s="93">
        <v>1</v>
      </c>
      <c r="C68" s="93">
        <v>2000</v>
      </c>
    </row>
    <row r="69" spans="1:3">
      <c r="A69" t="s">
        <v>409</v>
      </c>
      <c r="B69" s="93">
        <v>1</v>
      </c>
      <c r="C69" s="93">
        <v>1200</v>
      </c>
    </row>
    <row r="70" spans="1:3">
      <c r="A70" t="s">
        <v>356</v>
      </c>
      <c r="B70" s="93">
        <v>1</v>
      </c>
      <c r="C70" s="93">
        <v>3600</v>
      </c>
    </row>
    <row r="71" spans="1:3">
      <c r="A71" t="s">
        <v>411</v>
      </c>
      <c r="B71" s="93">
        <v>1</v>
      </c>
      <c r="C71" s="93">
        <v>2400</v>
      </c>
    </row>
    <row r="72" spans="1:3">
      <c r="A72" t="s">
        <v>413</v>
      </c>
      <c r="B72" s="93">
        <v>1</v>
      </c>
      <c r="C72" s="93"/>
    </row>
    <row r="73" spans="1:3">
      <c r="A73" t="s">
        <v>417</v>
      </c>
      <c r="B73" s="93">
        <v>1</v>
      </c>
      <c r="C73" s="93"/>
    </row>
    <row r="74" spans="1:3">
      <c r="A74" t="s">
        <v>419</v>
      </c>
      <c r="B74" s="93">
        <v>1</v>
      </c>
      <c r="C74" s="93"/>
    </row>
    <row r="75" spans="1:3">
      <c r="A75" t="s">
        <v>422</v>
      </c>
      <c r="B75" s="93">
        <v>1</v>
      </c>
      <c r="C75" s="93"/>
    </row>
    <row r="76" spans="1:3">
      <c r="A76" t="s">
        <v>424</v>
      </c>
      <c r="B76" s="93">
        <v>1</v>
      </c>
      <c r="C76" s="93"/>
    </row>
    <row r="77" spans="1:3">
      <c r="A77" t="s">
        <v>426</v>
      </c>
      <c r="B77" s="93">
        <v>1</v>
      </c>
      <c r="C77" s="93"/>
    </row>
    <row r="78" spans="1:3">
      <c r="A78" t="s">
        <v>430</v>
      </c>
      <c r="B78" s="93">
        <v>1</v>
      </c>
      <c r="C78" s="93">
        <v>1600</v>
      </c>
    </row>
    <row r="79" spans="1:3">
      <c r="A79" t="s">
        <v>433</v>
      </c>
      <c r="B79" s="93">
        <v>1</v>
      </c>
      <c r="C79" s="93"/>
    </row>
    <row r="80" spans="1:3">
      <c r="A80" t="s">
        <v>435</v>
      </c>
      <c r="B80" s="93">
        <v>1</v>
      </c>
      <c r="C80" s="93">
        <v>1600</v>
      </c>
    </row>
    <row r="81" spans="1:3">
      <c r="A81" t="s">
        <v>439</v>
      </c>
      <c r="B81" s="93">
        <v>1</v>
      </c>
      <c r="C81" s="93">
        <v>4800</v>
      </c>
    </row>
    <row r="82" spans="1:3">
      <c r="A82" t="s">
        <v>443</v>
      </c>
      <c r="B82" s="93">
        <v>1</v>
      </c>
      <c r="C82" s="93">
        <v>2400</v>
      </c>
    </row>
    <row r="83" spans="1:3">
      <c r="A83" t="s">
        <v>506</v>
      </c>
      <c r="B83" s="93">
        <v>77</v>
      </c>
      <c r="C83" s="93">
        <v>133450</v>
      </c>
    </row>
  </sheetData>
  <autoFilter ref="D5:K5" xr:uid="{F8E4213E-34CC-4F90-B57F-4866F13CCDC4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E6B20-79BA-4041-9147-87B116EEAF32}">
  <dimension ref="A3:G238"/>
  <sheetViews>
    <sheetView workbookViewId="0">
      <selection activeCell="A4" sqref="A4"/>
    </sheetView>
  </sheetViews>
  <sheetFormatPr defaultRowHeight="15"/>
  <cols>
    <col min="1" max="1" width="21" bestFit="1" customWidth="1"/>
    <col min="2" max="2" width="14.85546875" bestFit="1" customWidth="1"/>
    <col min="3" max="3" width="16.85546875" bestFit="1" customWidth="1"/>
    <col min="4" max="4" width="11.140625" bestFit="1" customWidth="1"/>
    <col min="5" max="5" width="6.28515625" bestFit="1" customWidth="1"/>
    <col min="6" max="6" width="12.42578125" bestFit="1" customWidth="1"/>
    <col min="7" max="7" width="11.140625" bestFit="1" customWidth="1"/>
    <col min="8" max="8" width="15" bestFit="1" customWidth="1"/>
    <col min="9" max="9" width="19.140625" bestFit="1" customWidth="1"/>
    <col min="10" max="10" width="15" bestFit="1" customWidth="1"/>
    <col min="11" max="11" width="19.140625" bestFit="1" customWidth="1"/>
    <col min="12" max="12" width="19.7109375" bestFit="1" customWidth="1"/>
    <col min="13" max="13" width="24" bestFit="1" customWidth="1"/>
  </cols>
  <sheetData>
    <row r="3" spans="1:7">
      <c r="A3" s="55" t="s">
        <v>525</v>
      </c>
      <c r="C3" s="55" t="s">
        <v>7</v>
      </c>
    </row>
    <row r="4" spans="1:7">
      <c r="A4" s="55" t="s">
        <v>4</v>
      </c>
      <c r="B4" s="55" t="s">
        <v>8</v>
      </c>
      <c r="C4" t="s">
        <v>35</v>
      </c>
      <c r="D4" t="s">
        <v>150</v>
      </c>
      <c r="E4" t="s">
        <v>65</v>
      </c>
      <c r="F4" t="s">
        <v>114</v>
      </c>
      <c r="G4" t="s">
        <v>506</v>
      </c>
    </row>
    <row r="5" spans="1:7">
      <c r="A5" t="s">
        <v>105</v>
      </c>
      <c r="B5" t="s">
        <v>109</v>
      </c>
      <c r="C5" s="93"/>
      <c r="D5" s="93"/>
      <c r="E5" s="93">
        <v>3600</v>
      </c>
      <c r="F5" s="93"/>
      <c r="G5" s="93">
        <v>3600</v>
      </c>
    </row>
    <row r="6" spans="1:7">
      <c r="B6" t="s">
        <v>41</v>
      </c>
      <c r="C6" s="93">
        <v>4800</v>
      </c>
      <c r="D6" s="93"/>
      <c r="E6" s="93"/>
      <c r="F6" s="93"/>
      <c r="G6" s="93">
        <v>4800</v>
      </c>
    </row>
    <row r="7" spans="1:7">
      <c r="B7" t="s">
        <v>84</v>
      </c>
      <c r="C7" s="93">
        <v>3600</v>
      </c>
      <c r="D7" s="93"/>
      <c r="E7" s="93"/>
      <c r="F7" s="93"/>
      <c r="G7" s="93">
        <v>3600</v>
      </c>
    </row>
    <row r="8" spans="1:7">
      <c r="B8" t="s">
        <v>86</v>
      </c>
      <c r="C8" s="93">
        <v>4800</v>
      </c>
      <c r="D8" s="93"/>
      <c r="E8" s="93"/>
      <c r="F8" s="93"/>
      <c r="G8" s="93">
        <v>4800</v>
      </c>
    </row>
    <row r="9" spans="1:7">
      <c r="B9" t="s">
        <v>103</v>
      </c>
      <c r="C9" s="93">
        <v>5400</v>
      </c>
      <c r="D9" s="93"/>
      <c r="E9" s="93"/>
      <c r="F9" s="93"/>
      <c r="G9" s="93">
        <v>5400</v>
      </c>
    </row>
    <row r="10" spans="1:7">
      <c r="A10" t="s">
        <v>531</v>
      </c>
      <c r="C10" s="93">
        <v>18600</v>
      </c>
      <c r="D10" s="93"/>
      <c r="E10" s="93">
        <v>3600</v>
      </c>
      <c r="F10" s="93"/>
      <c r="G10" s="93">
        <v>22200</v>
      </c>
    </row>
    <row r="11" spans="1:7">
      <c r="A11" t="s">
        <v>147</v>
      </c>
      <c r="B11" t="s">
        <v>41</v>
      </c>
      <c r="C11" s="93"/>
      <c r="D11" s="93">
        <v>7200</v>
      </c>
      <c r="E11" s="93"/>
      <c r="F11" s="93"/>
      <c r="G11" s="93">
        <v>7200</v>
      </c>
    </row>
    <row r="12" spans="1:7">
      <c r="B12" t="s">
        <v>84</v>
      </c>
      <c r="C12" s="93">
        <v>6300</v>
      </c>
      <c r="D12" s="93"/>
      <c r="E12" s="93"/>
      <c r="F12" s="93"/>
      <c r="G12" s="93">
        <v>6300</v>
      </c>
    </row>
    <row r="13" spans="1:7">
      <c r="B13" t="s">
        <v>86</v>
      </c>
      <c r="C13" s="93"/>
      <c r="D13" s="93"/>
      <c r="E13" s="93">
        <v>3600</v>
      </c>
      <c r="F13" s="93"/>
      <c r="G13" s="93">
        <v>3600</v>
      </c>
    </row>
    <row r="14" spans="1:7">
      <c r="B14" t="s">
        <v>94</v>
      </c>
      <c r="C14" s="93">
        <v>4800</v>
      </c>
      <c r="D14" s="93"/>
      <c r="E14" s="93"/>
      <c r="F14" s="93"/>
      <c r="G14" s="93">
        <v>4800</v>
      </c>
    </row>
    <row r="15" spans="1:7">
      <c r="A15" t="s">
        <v>532</v>
      </c>
      <c r="C15" s="93">
        <v>11100</v>
      </c>
      <c r="D15" s="93">
        <v>7200</v>
      </c>
      <c r="E15" s="93">
        <v>3600</v>
      </c>
      <c r="F15" s="93"/>
      <c r="G15" s="93">
        <v>21900</v>
      </c>
    </row>
    <row r="16" spans="1:7">
      <c r="A16" t="s">
        <v>167</v>
      </c>
      <c r="B16" t="s">
        <v>109</v>
      </c>
      <c r="C16" s="93">
        <v>3600</v>
      </c>
      <c r="D16" s="93"/>
      <c r="E16" s="93"/>
      <c r="F16" s="93"/>
      <c r="G16" s="93">
        <v>3600</v>
      </c>
    </row>
    <row r="17" spans="1:7">
      <c r="B17" t="s">
        <v>41</v>
      </c>
      <c r="C17" s="93">
        <v>3600</v>
      </c>
      <c r="D17" s="93"/>
      <c r="E17" s="93"/>
      <c r="F17" s="93"/>
      <c r="G17" s="93">
        <v>3600</v>
      </c>
    </row>
    <row r="18" spans="1:7">
      <c r="B18" t="s">
        <v>84</v>
      </c>
      <c r="C18" s="93">
        <v>3600</v>
      </c>
      <c r="D18" s="93"/>
      <c r="E18" s="93"/>
      <c r="F18" s="93"/>
      <c r="G18" s="93">
        <v>3600</v>
      </c>
    </row>
    <row r="19" spans="1:7">
      <c r="B19" t="s">
        <v>86</v>
      </c>
      <c r="C19" s="93">
        <v>3600</v>
      </c>
      <c r="D19" s="93"/>
      <c r="E19" s="93"/>
      <c r="F19" s="93"/>
      <c r="G19" s="93">
        <v>3600</v>
      </c>
    </row>
    <row r="20" spans="1:7">
      <c r="B20" t="s">
        <v>103</v>
      </c>
      <c r="C20" s="93">
        <v>3600</v>
      </c>
      <c r="D20" s="93"/>
      <c r="E20" s="93"/>
      <c r="F20" s="93"/>
      <c r="G20" s="93">
        <v>3600</v>
      </c>
    </row>
    <row r="21" spans="1:7">
      <c r="B21" t="s">
        <v>170</v>
      </c>
      <c r="C21" s="93">
        <v>3600</v>
      </c>
      <c r="D21" s="93"/>
      <c r="E21" s="93"/>
      <c r="F21" s="93"/>
      <c r="G21" s="93">
        <v>3600</v>
      </c>
    </row>
    <row r="22" spans="1:7">
      <c r="B22" t="s">
        <v>171</v>
      </c>
      <c r="C22" s="93"/>
      <c r="D22" s="93"/>
      <c r="E22" s="93"/>
      <c r="F22" s="93"/>
      <c r="G22" s="93"/>
    </row>
    <row r="23" spans="1:7">
      <c r="A23" t="s">
        <v>533</v>
      </c>
      <c r="C23" s="93">
        <v>21600</v>
      </c>
      <c r="D23" s="93"/>
      <c r="E23" s="93"/>
      <c r="F23" s="93"/>
      <c r="G23" s="93">
        <v>21600</v>
      </c>
    </row>
    <row r="24" spans="1:7">
      <c r="A24" t="s">
        <v>49</v>
      </c>
      <c r="B24" t="s">
        <v>60</v>
      </c>
      <c r="C24" s="93">
        <v>3600</v>
      </c>
      <c r="D24" s="93"/>
      <c r="E24" s="93"/>
      <c r="F24" s="93"/>
      <c r="G24" s="93">
        <v>3600</v>
      </c>
    </row>
    <row r="25" spans="1:7">
      <c r="B25" t="s">
        <v>51</v>
      </c>
      <c r="C25" s="93">
        <v>3600</v>
      </c>
      <c r="D25" s="93"/>
      <c r="E25" s="93"/>
      <c r="F25" s="93"/>
      <c r="G25" s="93">
        <v>3600</v>
      </c>
    </row>
    <row r="26" spans="1:7">
      <c r="B26" t="s">
        <v>54</v>
      </c>
      <c r="C26" s="93">
        <v>3600</v>
      </c>
      <c r="D26" s="93"/>
      <c r="E26" s="93"/>
      <c r="F26" s="93"/>
      <c r="G26" s="93">
        <v>3600</v>
      </c>
    </row>
    <row r="27" spans="1:7">
      <c r="B27" t="s">
        <v>56</v>
      </c>
      <c r="C27" s="93">
        <v>3600</v>
      </c>
      <c r="D27" s="93"/>
      <c r="E27" s="93"/>
      <c r="F27" s="93"/>
      <c r="G27" s="93">
        <v>3600</v>
      </c>
    </row>
    <row r="28" spans="1:7">
      <c r="B28" t="s">
        <v>58</v>
      </c>
      <c r="C28" s="93">
        <v>3600</v>
      </c>
      <c r="D28" s="93"/>
      <c r="E28" s="93"/>
      <c r="F28" s="93"/>
      <c r="G28" s="93">
        <v>3600</v>
      </c>
    </row>
    <row r="29" spans="1:7">
      <c r="B29" t="s">
        <v>66</v>
      </c>
      <c r="C29" s="93"/>
      <c r="D29" s="93"/>
      <c r="E29" s="93">
        <v>3600</v>
      </c>
      <c r="F29" s="93"/>
      <c r="G29" s="93">
        <v>3600</v>
      </c>
    </row>
    <row r="30" spans="1:7">
      <c r="A30" t="s">
        <v>534</v>
      </c>
      <c r="C30" s="93">
        <v>18000</v>
      </c>
      <c r="D30" s="93"/>
      <c r="E30" s="93">
        <v>3600</v>
      </c>
      <c r="F30" s="93"/>
      <c r="G30" s="93">
        <v>21600</v>
      </c>
    </row>
    <row r="31" spans="1:7">
      <c r="A31" t="s">
        <v>157</v>
      </c>
      <c r="B31" t="s">
        <v>41</v>
      </c>
      <c r="C31" s="93">
        <v>7800</v>
      </c>
      <c r="D31" s="93"/>
      <c r="E31" s="93"/>
      <c r="F31" s="93"/>
      <c r="G31" s="93">
        <v>7800</v>
      </c>
    </row>
    <row r="32" spans="1:7">
      <c r="B32" t="s">
        <v>84</v>
      </c>
      <c r="C32" s="93">
        <v>7200</v>
      </c>
      <c r="D32" s="93"/>
      <c r="E32" s="93"/>
      <c r="F32" s="93"/>
      <c r="G32" s="93">
        <v>7200</v>
      </c>
    </row>
    <row r="33" spans="1:7">
      <c r="B33" t="s">
        <v>86</v>
      </c>
      <c r="C33" s="93"/>
      <c r="D33" s="93"/>
      <c r="E33" s="93">
        <v>3600</v>
      </c>
      <c r="F33" s="93"/>
      <c r="G33" s="93">
        <v>3600</v>
      </c>
    </row>
    <row r="34" spans="1:7">
      <c r="A34" t="s">
        <v>535</v>
      </c>
      <c r="C34" s="93">
        <v>15000</v>
      </c>
      <c r="D34" s="93"/>
      <c r="E34" s="93">
        <v>3600</v>
      </c>
      <c r="F34" s="93"/>
      <c r="G34" s="93">
        <v>18600</v>
      </c>
    </row>
    <row r="35" spans="1:7">
      <c r="A35" t="s">
        <v>189</v>
      </c>
      <c r="B35" t="s">
        <v>51</v>
      </c>
      <c r="C35" s="93">
        <v>3600</v>
      </c>
      <c r="D35" s="93"/>
      <c r="E35" s="93"/>
      <c r="F35" s="93"/>
      <c r="G35" s="93">
        <v>3600</v>
      </c>
    </row>
    <row r="36" spans="1:7">
      <c r="B36" t="s">
        <v>54</v>
      </c>
      <c r="C36" s="93">
        <v>3000</v>
      </c>
      <c r="D36" s="93"/>
      <c r="E36" s="93"/>
      <c r="F36" s="93"/>
      <c r="G36" s="93">
        <v>3000</v>
      </c>
    </row>
    <row r="37" spans="1:7">
      <c r="B37" t="s">
        <v>56</v>
      </c>
      <c r="C37" s="93">
        <v>3000</v>
      </c>
      <c r="D37" s="93"/>
      <c r="E37" s="93"/>
      <c r="F37" s="93"/>
      <c r="G37" s="93">
        <v>3000</v>
      </c>
    </row>
    <row r="38" spans="1:7">
      <c r="B38" t="s">
        <v>58</v>
      </c>
      <c r="C38" s="93"/>
      <c r="D38" s="93">
        <v>3600</v>
      </c>
      <c r="E38" s="93"/>
      <c r="F38" s="93"/>
      <c r="G38" s="93">
        <v>3600</v>
      </c>
    </row>
    <row r="39" spans="1:7">
      <c r="B39" t="s">
        <v>170</v>
      </c>
      <c r="C39" s="93">
        <v>4200</v>
      </c>
      <c r="D39" s="93"/>
      <c r="E39" s="93"/>
      <c r="F39" s="93"/>
      <c r="G39" s="93">
        <v>4200</v>
      </c>
    </row>
    <row r="40" spans="1:7">
      <c r="A40" t="s">
        <v>536</v>
      </c>
      <c r="C40" s="93">
        <v>13800</v>
      </c>
      <c r="D40" s="93">
        <v>3600</v>
      </c>
      <c r="E40" s="93"/>
      <c r="F40" s="93"/>
      <c r="G40" s="93">
        <v>17400</v>
      </c>
    </row>
    <row r="41" spans="1:7">
      <c r="A41" t="s">
        <v>127</v>
      </c>
      <c r="B41" t="s">
        <v>41</v>
      </c>
      <c r="C41" s="93">
        <v>4800</v>
      </c>
      <c r="D41" s="93"/>
      <c r="E41" s="93"/>
      <c r="F41" s="93"/>
      <c r="G41" s="93">
        <v>4800</v>
      </c>
    </row>
    <row r="42" spans="1:7">
      <c r="B42" t="s">
        <v>84</v>
      </c>
      <c r="C42" s="93">
        <v>2400</v>
      </c>
      <c r="D42" s="93"/>
      <c r="E42" s="93"/>
      <c r="F42" s="93"/>
      <c r="G42" s="93">
        <v>2400</v>
      </c>
    </row>
    <row r="43" spans="1:7">
      <c r="B43" t="s">
        <v>86</v>
      </c>
      <c r="C43" s="93">
        <v>3600</v>
      </c>
      <c r="D43" s="93"/>
      <c r="E43" s="93"/>
      <c r="F43" s="93"/>
      <c r="G43" s="93">
        <v>3600</v>
      </c>
    </row>
    <row r="44" spans="1:7">
      <c r="B44" t="s">
        <v>103</v>
      </c>
      <c r="C44" s="93"/>
      <c r="D44" s="93"/>
      <c r="E44" s="93"/>
      <c r="F44" s="93">
        <v>4800</v>
      </c>
      <c r="G44" s="93">
        <v>4800</v>
      </c>
    </row>
    <row r="45" spans="1:7">
      <c r="A45" t="s">
        <v>537</v>
      </c>
      <c r="C45" s="93">
        <v>10800</v>
      </c>
      <c r="D45" s="93"/>
      <c r="E45" s="93"/>
      <c r="F45" s="93">
        <v>4800</v>
      </c>
      <c r="G45" s="93">
        <v>15600</v>
      </c>
    </row>
    <row r="46" spans="1:7">
      <c r="A46" t="s">
        <v>238</v>
      </c>
      <c r="B46" t="s">
        <v>239</v>
      </c>
      <c r="C46" s="93"/>
      <c r="D46" s="93"/>
      <c r="E46" s="93">
        <v>15600</v>
      </c>
      <c r="F46" s="93"/>
      <c r="G46" s="93">
        <v>15600</v>
      </c>
    </row>
    <row r="47" spans="1:7">
      <c r="A47" t="s">
        <v>538</v>
      </c>
      <c r="C47" s="93"/>
      <c r="D47" s="93"/>
      <c r="E47" s="93">
        <v>15600</v>
      </c>
      <c r="F47" s="93"/>
      <c r="G47" s="93">
        <v>15600</v>
      </c>
    </row>
    <row r="48" spans="1:7">
      <c r="A48" t="s">
        <v>173</v>
      </c>
      <c r="B48" t="s">
        <v>174</v>
      </c>
      <c r="C48" s="93">
        <v>4600</v>
      </c>
      <c r="D48" s="93"/>
      <c r="E48" s="93"/>
      <c r="F48" s="93"/>
      <c r="G48" s="93">
        <v>4600</v>
      </c>
    </row>
    <row r="49" spans="1:7">
      <c r="B49" t="s">
        <v>109</v>
      </c>
      <c r="C49" s="93"/>
      <c r="D49" s="93"/>
      <c r="E49" s="93"/>
      <c r="F49" s="93"/>
      <c r="G49" s="93"/>
    </row>
    <row r="50" spans="1:7">
      <c r="B50" t="s">
        <v>41</v>
      </c>
      <c r="C50" s="93">
        <v>3600</v>
      </c>
      <c r="D50" s="93"/>
      <c r="E50" s="93"/>
      <c r="F50" s="93"/>
      <c r="G50" s="93">
        <v>3600</v>
      </c>
    </row>
    <row r="51" spans="1:7">
      <c r="B51" t="s">
        <v>84</v>
      </c>
      <c r="C51" s="93">
        <v>3600</v>
      </c>
      <c r="D51" s="93"/>
      <c r="E51" s="93"/>
      <c r="F51" s="93"/>
      <c r="G51" s="93">
        <v>3600</v>
      </c>
    </row>
    <row r="52" spans="1:7">
      <c r="B52" t="s">
        <v>86</v>
      </c>
      <c r="C52" s="93">
        <v>3600</v>
      </c>
      <c r="D52" s="93"/>
      <c r="E52" s="93"/>
      <c r="F52" s="93"/>
      <c r="G52" s="93">
        <v>3600</v>
      </c>
    </row>
    <row r="53" spans="1:7">
      <c r="A53" t="s">
        <v>539</v>
      </c>
      <c r="C53" s="93">
        <v>15400</v>
      </c>
      <c r="D53" s="93"/>
      <c r="E53" s="93"/>
      <c r="F53" s="93"/>
      <c r="G53" s="93">
        <v>15400</v>
      </c>
    </row>
    <row r="54" spans="1:7">
      <c r="A54" t="s">
        <v>181</v>
      </c>
      <c r="B54" t="s">
        <v>174</v>
      </c>
      <c r="C54" s="93"/>
      <c r="D54" s="93">
        <v>3600</v>
      </c>
      <c r="E54" s="93"/>
      <c r="F54" s="93"/>
      <c r="G54" s="93">
        <v>3600</v>
      </c>
    </row>
    <row r="55" spans="1:7">
      <c r="B55" t="s">
        <v>41</v>
      </c>
      <c r="C55" s="93">
        <v>3600</v>
      </c>
      <c r="D55" s="93"/>
      <c r="E55" s="93"/>
      <c r="F55" s="93"/>
      <c r="G55" s="93">
        <v>3600</v>
      </c>
    </row>
    <row r="56" spans="1:7">
      <c r="B56" t="s">
        <v>84</v>
      </c>
      <c r="C56" s="93">
        <v>3600</v>
      </c>
      <c r="D56" s="93"/>
      <c r="E56" s="93"/>
      <c r="F56" s="93"/>
      <c r="G56" s="93">
        <v>3600</v>
      </c>
    </row>
    <row r="57" spans="1:7">
      <c r="B57" t="s">
        <v>86</v>
      </c>
      <c r="C57" s="93">
        <v>3600</v>
      </c>
      <c r="D57" s="93"/>
      <c r="E57" s="93"/>
      <c r="F57" s="93"/>
      <c r="G57" s="93">
        <v>3600</v>
      </c>
    </row>
    <row r="58" spans="1:7">
      <c r="B58" t="s">
        <v>182</v>
      </c>
      <c r="C58" s="93"/>
      <c r="D58" s="93"/>
      <c r="E58" s="93"/>
      <c r="F58" s="93"/>
      <c r="G58" s="93"/>
    </row>
    <row r="59" spans="1:7">
      <c r="A59" t="s">
        <v>540</v>
      </c>
      <c r="C59" s="93">
        <v>10800</v>
      </c>
      <c r="D59" s="93">
        <v>3600</v>
      </c>
      <c r="E59" s="93"/>
      <c r="F59" s="93"/>
      <c r="G59" s="93">
        <v>14400</v>
      </c>
    </row>
    <row r="60" spans="1:7">
      <c r="A60" t="s">
        <v>99</v>
      </c>
      <c r="B60" t="s">
        <v>41</v>
      </c>
      <c r="C60" s="93">
        <v>3600</v>
      </c>
      <c r="D60" s="93"/>
      <c r="E60" s="93"/>
      <c r="F60" s="93"/>
      <c r="G60" s="93">
        <v>3600</v>
      </c>
    </row>
    <row r="61" spans="1:7">
      <c r="B61" t="s">
        <v>84</v>
      </c>
      <c r="C61" s="93">
        <v>3600</v>
      </c>
      <c r="D61" s="93"/>
      <c r="E61" s="93"/>
      <c r="F61" s="93"/>
      <c r="G61" s="93">
        <v>3600</v>
      </c>
    </row>
    <row r="62" spans="1:7">
      <c r="B62" t="s">
        <v>86</v>
      </c>
      <c r="C62" s="93">
        <v>3600</v>
      </c>
      <c r="D62" s="93"/>
      <c r="E62" s="93"/>
      <c r="F62" s="93"/>
      <c r="G62" s="93">
        <v>3600</v>
      </c>
    </row>
    <row r="63" spans="1:7">
      <c r="B63" t="s">
        <v>103</v>
      </c>
      <c r="C63" s="93"/>
      <c r="D63" s="93"/>
      <c r="E63" s="93"/>
      <c r="F63" s="93"/>
      <c r="G63" s="93"/>
    </row>
    <row r="64" spans="1:7">
      <c r="B64" t="s">
        <v>94</v>
      </c>
      <c r="C64" s="93">
        <v>3600</v>
      </c>
      <c r="D64" s="93"/>
      <c r="E64" s="93"/>
      <c r="F64" s="93"/>
      <c r="G64" s="93">
        <v>3600</v>
      </c>
    </row>
    <row r="65" spans="1:7">
      <c r="A65" t="s">
        <v>541</v>
      </c>
      <c r="C65" s="93">
        <v>14400</v>
      </c>
      <c r="D65" s="93"/>
      <c r="E65" s="93"/>
      <c r="F65" s="93"/>
      <c r="G65" s="93">
        <v>14400</v>
      </c>
    </row>
    <row r="66" spans="1:7">
      <c r="A66" t="s">
        <v>233</v>
      </c>
      <c r="B66" t="s">
        <v>217</v>
      </c>
      <c r="C66" s="93">
        <v>3600</v>
      </c>
      <c r="D66" s="93"/>
      <c r="E66" s="93"/>
      <c r="F66" s="93"/>
      <c r="G66" s="93">
        <v>3600</v>
      </c>
    </row>
    <row r="67" spans="1:7">
      <c r="B67" t="s">
        <v>203</v>
      </c>
      <c r="C67" s="93"/>
      <c r="D67" s="93">
        <v>3600</v>
      </c>
      <c r="E67" s="93"/>
      <c r="F67" s="93"/>
      <c r="G67" s="93">
        <v>3600</v>
      </c>
    </row>
    <row r="68" spans="1:7">
      <c r="B68" t="s">
        <v>216</v>
      </c>
      <c r="C68" s="93">
        <v>3600</v>
      </c>
      <c r="D68" s="93"/>
      <c r="E68" s="93"/>
      <c r="F68" s="93"/>
      <c r="G68" s="93">
        <v>3600</v>
      </c>
    </row>
    <row r="69" spans="1:7">
      <c r="B69" t="s">
        <v>235</v>
      </c>
      <c r="C69" s="93"/>
      <c r="D69" s="93"/>
      <c r="E69" s="93">
        <v>3600</v>
      </c>
      <c r="F69" s="93"/>
      <c r="G69" s="93">
        <v>3600</v>
      </c>
    </row>
    <row r="70" spans="1:7">
      <c r="A70" t="s">
        <v>542</v>
      </c>
      <c r="C70" s="93">
        <v>7200</v>
      </c>
      <c r="D70" s="93">
        <v>3600</v>
      </c>
      <c r="E70" s="93">
        <v>3600</v>
      </c>
      <c r="F70" s="93"/>
      <c r="G70" s="93">
        <v>14400</v>
      </c>
    </row>
    <row r="71" spans="1:7">
      <c r="A71" t="s">
        <v>161</v>
      </c>
      <c r="B71" t="s">
        <v>163</v>
      </c>
      <c r="C71" s="93">
        <v>3600</v>
      </c>
      <c r="D71" s="93"/>
      <c r="E71" s="93"/>
      <c r="F71" s="93"/>
      <c r="G71" s="93">
        <v>3600</v>
      </c>
    </row>
    <row r="72" spans="1:7">
      <c r="B72" t="s">
        <v>41</v>
      </c>
      <c r="C72" s="93">
        <v>3600</v>
      </c>
      <c r="D72" s="93"/>
      <c r="E72" s="93"/>
      <c r="F72" s="93"/>
      <c r="G72" s="93">
        <v>3600</v>
      </c>
    </row>
    <row r="73" spans="1:7">
      <c r="B73" t="s">
        <v>84</v>
      </c>
      <c r="C73" s="93">
        <v>3600</v>
      </c>
      <c r="D73" s="93"/>
      <c r="E73" s="93"/>
      <c r="F73" s="93"/>
      <c r="G73" s="93">
        <v>3600</v>
      </c>
    </row>
    <row r="74" spans="1:7">
      <c r="B74" t="s">
        <v>86</v>
      </c>
      <c r="C74" s="93">
        <v>3100</v>
      </c>
      <c r="D74" s="93"/>
      <c r="E74" s="93"/>
      <c r="F74" s="93"/>
      <c r="G74" s="93">
        <v>3100</v>
      </c>
    </row>
    <row r="75" spans="1:7">
      <c r="B75" t="s">
        <v>165</v>
      </c>
      <c r="C75" s="93"/>
      <c r="D75" s="93"/>
      <c r="E75" s="93"/>
      <c r="F75" s="93"/>
      <c r="G75" s="93"/>
    </row>
    <row r="76" spans="1:7">
      <c r="A76" t="s">
        <v>543</v>
      </c>
      <c r="C76" s="93">
        <v>13900</v>
      </c>
      <c r="D76" s="93"/>
      <c r="E76" s="93"/>
      <c r="F76" s="93"/>
      <c r="G76" s="93">
        <v>13900</v>
      </c>
    </row>
    <row r="77" spans="1:7">
      <c r="A77" t="s">
        <v>221</v>
      </c>
      <c r="B77" t="s">
        <v>41</v>
      </c>
      <c r="C77" s="93"/>
      <c r="D77" s="93"/>
      <c r="E77" s="93"/>
      <c r="F77" s="93">
        <v>8400</v>
      </c>
      <c r="G77" s="93">
        <v>8400</v>
      </c>
    </row>
    <row r="78" spans="1:7">
      <c r="B78" t="s">
        <v>216</v>
      </c>
      <c r="C78" s="93">
        <v>4800</v>
      </c>
      <c r="D78" s="93"/>
      <c r="E78" s="93"/>
      <c r="F78" s="93"/>
      <c r="G78" s="93">
        <v>4800</v>
      </c>
    </row>
    <row r="79" spans="1:7">
      <c r="A79" t="s">
        <v>544</v>
      </c>
      <c r="C79" s="93">
        <v>4800</v>
      </c>
      <c r="D79" s="93"/>
      <c r="E79" s="93"/>
      <c r="F79" s="93">
        <v>8400</v>
      </c>
      <c r="G79" s="93">
        <v>13200</v>
      </c>
    </row>
    <row r="80" spans="1:7">
      <c r="A80" t="s">
        <v>219</v>
      </c>
      <c r="B80" t="s">
        <v>217</v>
      </c>
      <c r="C80" s="93"/>
      <c r="D80" s="93"/>
      <c r="E80" s="93"/>
      <c r="F80" s="93">
        <v>7200</v>
      </c>
      <c r="G80" s="93">
        <v>7200</v>
      </c>
    </row>
    <row r="81" spans="1:7">
      <c r="B81" t="s">
        <v>216</v>
      </c>
      <c r="C81" s="93">
        <v>4800</v>
      </c>
      <c r="D81" s="93"/>
      <c r="E81" s="93"/>
      <c r="F81" s="93"/>
      <c r="G81" s="93">
        <v>4800</v>
      </c>
    </row>
    <row r="82" spans="1:7">
      <c r="A82" t="s">
        <v>545</v>
      </c>
      <c r="C82" s="93">
        <v>4800</v>
      </c>
      <c r="D82" s="93"/>
      <c r="E82" s="93"/>
      <c r="F82" s="93">
        <v>7200</v>
      </c>
      <c r="G82" s="93">
        <v>12000</v>
      </c>
    </row>
    <row r="83" spans="1:7">
      <c r="A83" t="s">
        <v>179</v>
      </c>
      <c r="B83" t="s">
        <v>163</v>
      </c>
      <c r="C83" s="93"/>
      <c r="D83" s="93"/>
      <c r="E83" s="93"/>
      <c r="F83" s="93"/>
      <c r="G83" s="93"/>
    </row>
    <row r="84" spans="1:7">
      <c r="B84" t="s">
        <v>41</v>
      </c>
      <c r="C84" s="93">
        <v>3600</v>
      </c>
      <c r="D84" s="93"/>
      <c r="E84" s="93"/>
      <c r="F84" s="93"/>
      <c r="G84" s="93">
        <v>3600</v>
      </c>
    </row>
    <row r="85" spans="1:7">
      <c r="B85" t="s">
        <v>84</v>
      </c>
      <c r="C85" s="93">
        <v>3600</v>
      </c>
      <c r="D85" s="93"/>
      <c r="E85" s="93"/>
      <c r="F85" s="93"/>
      <c r="G85" s="93">
        <v>3600</v>
      </c>
    </row>
    <row r="86" spans="1:7">
      <c r="B86" t="s">
        <v>86</v>
      </c>
      <c r="C86" s="93"/>
      <c r="D86" s="93">
        <v>3600</v>
      </c>
      <c r="E86" s="93"/>
      <c r="F86" s="93"/>
      <c r="G86" s="93">
        <v>3600</v>
      </c>
    </row>
    <row r="87" spans="1:7">
      <c r="A87" t="s">
        <v>546</v>
      </c>
      <c r="C87" s="93">
        <v>7200</v>
      </c>
      <c r="D87" s="93">
        <v>3600</v>
      </c>
      <c r="E87" s="93"/>
      <c r="F87" s="93"/>
      <c r="G87" s="93">
        <v>10800</v>
      </c>
    </row>
    <row r="88" spans="1:7">
      <c r="A88" t="s">
        <v>275</v>
      </c>
      <c r="B88" t="s">
        <v>217</v>
      </c>
      <c r="C88" s="93">
        <v>3600</v>
      </c>
      <c r="D88" s="93"/>
      <c r="E88" s="93"/>
      <c r="F88" s="93"/>
      <c r="G88" s="93">
        <v>3600</v>
      </c>
    </row>
    <row r="89" spans="1:7">
      <c r="B89" t="s">
        <v>203</v>
      </c>
      <c r="C89" s="93">
        <v>3600</v>
      </c>
      <c r="D89" s="93"/>
      <c r="E89" s="93"/>
      <c r="F89" s="93"/>
      <c r="G89" s="93">
        <v>3600</v>
      </c>
    </row>
    <row r="90" spans="1:7">
      <c r="B90" t="s">
        <v>174</v>
      </c>
      <c r="C90" s="93">
        <v>1200</v>
      </c>
      <c r="D90" s="93"/>
      <c r="E90" s="93"/>
      <c r="F90" s="93"/>
      <c r="G90" s="93">
        <v>1200</v>
      </c>
    </row>
    <row r="91" spans="1:7">
      <c r="B91" t="s">
        <v>252</v>
      </c>
      <c r="C91" s="93">
        <v>2400</v>
      </c>
      <c r="D91" s="93"/>
      <c r="E91" s="93"/>
      <c r="F91" s="93"/>
      <c r="G91" s="93">
        <v>2400</v>
      </c>
    </row>
    <row r="92" spans="1:7">
      <c r="A92" t="s">
        <v>547</v>
      </c>
      <c r="C92" s="93">
        <v>10800</v>
      </c>
      <c r="D92" s="93"/>
      <c r="E92" s="93"/>
      <c r="F92" s="93"/>
      <c r="G92" s="93">
        <v>10800</v>
      </c>
    </row>
    <row r="93" spans="1:7">
      <c r="A93" t="s">
        <v>229</v>
      </c>
      <c r="B93" t="s">
        <v>217</v>
      </c>
      <c r="C93" s="93">
        <v>7200</v>
      </c>
      <c r="D93" s="93"/>
      <c r="E93" s="93"/>
      <c r="F93" s="93"/>
      <c r="G93" s="93">
        <v>7200</v>
      </c>
    </row>
    <row r="94" spans="1:7">
      <c r="B94" t="s">
        <v>84</v>
      </c>
      <c r="C94" s="93"/>
      <c r="D94" s="93"/>
      <c r="E94" s="93">
        <v>3600</v>
      </c>
      <c r="F94" s="93"/>
      <c r="G94" s="93">
        <v>3600</v>
      </c>
    </row>
    <row r="95" spans="1:7">
      <c r="A95" t="s">
        <v>548</v>
      </c>
      <c r="C95" s="93">
        <v>7200</v>
      </c>
      <c r="D95" s="93"/>
      <c r="E95" s="93">
        <v>3600</v>
      </c>
      <c r="F95" s="93"/>
      <c r="G95" s="93">
        <v>10800</v>
      </c>
    </row>
    <row r="96" spans="1:7">
      <c r="A96" t="s">
        <v>71</v>
      </c>
      <c r="B96" t="s">
        <v>51</v>
      </c>
      <c r="C96" s="93">
        <v>3600</v>
      </c>
      <c r="D96" s="93"/>
      <c r="E96" s="93"/>
      <c r="F96" s="93"/>
      <c r="G96" s="93">
        <v>3600</v>
      </c>
    </row>
    <row r="97" spans="1:7">
      <c r="B97" t="s">
        <v>54</v>
      </c>
      <c r="C97" s="93">
        <v>3600</v>
      </c>
      <c r="D97" s="93"/>
      <c r="E97" s="93"/>
      <c r="F97" s="93"/>
      <c r="G97" s="93">
        <v>3600</v>
      </c>
    </row>
    <row r="98" spans="1:7">
      <c r="B98" t="s">
        <v>56</v>
      </c>
      <c r="C98" s="93">
        <v>3600</v>
      </c>
      <c r="D98" s="93"/>
      <c r="E98" s="93"/>
      <c r="F98" s="93"/>
      <c r="G98" s="93">
        <v>3600</v>
      </c>
    </row>
    <row r="99" spans="1:7">
      <c r="A99" t="s">
        <v>549</v>
      </c>
      <c r="C99" s="93">
        <v>10800</v>
      </c>
      <c r="D99" s="93"/>
      <c r="E99" s="93"/>
      <c r="F99" s="93"/>
      <c r="G99" s="93">
        <v>10800</v>
      </c>
    </row>
    <row r="100" spans="1:7">
      <c r="A100" t="s">
        <v>291</v>
      </c>
      <c r="B100" t="s">
        <v>203</v>
      </c>
      <c r="C100" s="93"/>
      <c r="D100" s="93">
        <v>3600</v>
      </c>
      <c r="E100" s="93"/>
      <c r="F100" s="93"/>
      <c r="G100" s="93">
        <v>3600</v>
      </c>
    </row>
    <row r="101" spans="1:7">
      <c r="B101" t="s">
        <v>41</v>
      </c>
      <c r="C101" s="93"/>
      <c r="D101" s="93">
        <v>3600</v>
      </c>
      <c r="E101" s="93"/>
      <c r="F101" s="93"/>
      <c r="G101" s="93">
        <v>3600</v>
      </c>
    </row>
    <row r="102" spans="1:7">
      <c r="B102" t="s">
        <v>86</v>
      </c>
      <c r="C102" s="93">
        <v>3600</v>
      </c>
      <c r="D102" s="93"/>
      <c r="E102" s="93"/>
      <c r="F102" s="93"/>
      <c r="G102" s="93">
        <v>3600</v>
      </c>
    </row>
    <row r="103" spans="1:7">
      <c r="B103" t="s">
        <v>103</v>
      </c>
      <c r="C103" s="93"/>
      <c r="D103" s="93"/>
      <c r="E103" s="93"/>
      <c r="F103" s="93"/>
      <c r="G103" s="93"/>
    </row>
    <row r="104" spans="1:7">
      <c r="A104" t="s">
        <v>550</v>
      </c>
      <c r="C104" s="93">
        <v>3600</v>
      </c>
      <c r="D104" s="93">
        <v>7200</v>
      </c>
      <c r="E104" s="93"/>
      <c r="F104" s="93"/>
      <c r="G104" s="93">
        <v>10800</v>
      </c>
    </row>
    <row r="105" spans="1:7">
      <c r="A105" t="s">
        <v>81</v>
      </c>
      <c r="B105" t="s">
        <v>41</v>
      </c>
      <c r="C105" s="93">
        <v>3600</v>
      </c>
      <c r="D105" s="93"/>
      <c r="E105" s="93"/>
      <c r="F105" s="93"/>
      <c r="G105" s="93">
        <v>3600</v>
      </c>
    </row>
    <row r="106" spans="1:7">
      <c r="B106" t="s">
        <v>84</v>
      </c>
      <c r="C106" s="93">
        <v>3600</v>
      </c>
      <c r="D106" s="93"/>
      <c r="E106" s="93"/>
      <c r="F106" s="93"/>
      <c r="G106" s="93">
        <v>3600</v>
      </c>
    </row>
    <row r="107" spans="1:7">
      <c r="B107" t="s">
        <v>86</v>
      </c>
      <c r="C107" s="93">
        <v>3600</v>
      </c>
      <c r="D107" s="93"/>
      <c r="E107" s="93"/>
      <c r="F107" s="93"/>
      <c r="G107" s="93">
        <v>3600</v>
      </c>
    </row>
    <row r="108" spans="1:7">
      <c r="A108" t="s">
        <v>551</v>
      </c>
      <c r="C108" s="93">
        <v>10800</v>
      </c>
      <c r="D108" s="93"/>
      <c r="E108" s="93"/>
      <c r="F108" s="93"/>
      <c r="G108" s="93">
        <v>10800</v>
      </c>
    </row>
    <row r="109" spans="1:7">
      <c r="A109" t="s">
        <v>193</v>
      </c>
      <c r="B109" t="s">
        <v>41</v>
      </c>
      <c r="C109" s="93">
        <v>0</v>
      </c>
      <c r="D109" s="93"/>
      <c r="E109" s="93"/>
      <c r="F109" s="93"/>
      <c r="G109" s="93">
        <v>0</v>
      </c>
    </row>
    <row r="110" spans="1:7">
      <c r="B110" t="s">
        <v>84</v>
      </c>
      <c r="C110" s="93"/>
      <c r="D110" s="93">
        <v>3600</v>
      </c>
      <c r="E110" s="93"/>
      <c r="F110" s="93"/>
      <c r="G110" s="93">
        <v>3600</v>
      </c>
    </row>
    <row r="111" spans="1:7">
      <c r="B111" t="s">
        <v>86</v>
      </c>
      <c r="C111" s="93">
        <v>3600</v>
      </c>
      <c r="D111" s="93"/>
      <c r="E111" s="93"/>
      <c r="F111" s="93"/>
      <c r="G111" s="93">
        <v>3600</v>
      </c>
    </row>
    <row r="112" spans="1:7">
      <c r="B112" t="s">
        <v>103</v>
      </c>
      <c r="C112" s="93"/>
      <c r="D112" s="93"/>
      <c r="E112" s="93">
        <v>3600</v>
      </c>
      <c r="F112" s="93"/>
      <c r="G112" s="93">
        <v>3600</v>
      </c>
    </row>
    <row r="113" spans="1:7">
      <c r="A113" t="s">
        <v>552</v>
      </c>
      <c r="C113" s="93">
        <v>3600</v>
      </c>
      <c r="D113" s="93">
        <v>3600</v>
      </c>
      <c r="E113" s="93">
        <v>3600</v>
      </c>
      <c r="F113" s="93"/>
      <c r="G113" s="93">
        <v>10800</v>
      </c>
    </row>
    <row r="114" spans="1:7">
      <c r="A114" t="s">
        <v>89</v>
      </c>
      <c r="B114" t="s">
        <v>41</v>
      </c>
      <c r="C114" s="93">
        <v>3600</v>
      </c>
      <c r="D114" s="93"/>
      <c r="E114" s="93"/>
      <c r="F114" s="93"/>
      <c r="G114" s="93">
        <v>3600</v>
      </c>
    </row>
    <row r="115" spans="1:7">
      <c r="B115" t="s">
        <v>84</v>
      </c>
      <c r="C115" s="93">
        <v>3600</v>
      </c>
      <c r="D115" s="93"/>
      <c r="E115" s="93"/>
      <c r="F115" s="93"/>
      <c r="G115" s="93">
        <v>3600</v>
      </c>
    </row>
    <row r="116" spans="1:7">
      <c r="B116" t="s">
        <v>86</v>
      </c>
      <c r="C116" s="93">
        <v>3600</v>
      </c>
      <c r="D116" s="93"/>
      <c r="E116" s="93"/>
      <c r="F116" s="93"/>
      <c r="G116" s="93">
        <v>3600</v>
      </c>
    </row>
    <row r="117" spans="1:7">
      <c r="A117" t="s">
        <v>553</v>
      </c>
      <c r="C117" s="93">
        <v>10800</v>
      </c>
      <c r="D117" s="93"/>
      <c r="E117" s="93"/>
      <c r="F117" s="93"/>
      <c r="G117" s="93">
        <v>10800</v>
      </c>
    </row>
    <row r="118" spans="1:7">
      <c r="A118" t="s">
        <v>269</v>
      </c>
      <c r="B118" t="s">
        <v>217</v>
      </c>
      <c r="C118" s="93"/>
      <c r="D118" s="93"/>
      <c r="E118" s="93">
        <v>4800</v>
      </c>
      <c r="F118" s="93"/>
      <c r="G118" s="93">
        <v>4800</v>
      </c>
    </row>
    <row r="119" spans="1:7">
      <c r="B119" t="s">
        <v>216</v>
      </c>
      <c r="C119" s="93">
        <v>6000</v>
      </c>
      <c r="D119" s="93"/>
      <c r="E119" s="93"/>
      <c r="F119" s="93"/>
      <c r="G119" s="93">
        <v>6000</v>
      </c>
    </row>
    <row r="120" spans="1:7">
      <c r="A120" t="s">
        <v>554</v>
      </c>
      <c r="C120" s="93">
        <v>6000</v>
      </c>
      <c r="D120" s="93"/>
      <c r="E120" s="93">
        <v>4800</v>
      </c>
      <c r="F120" s="93"/>
      <c r="G120" s="93">
        <v>10800</v>
      </c>
    </row>
    <row r="121" spans="1:7">
      <c r="A121" t="s">
        <v>92</v>
      </c>
      <c r="B121" t="s">
        <v>36</v>
      </c>
      <c r="C121" s="93">
        <v>3000</v>
      </c>
      <c r="D121" s="93"/>
      <c r="E121" s="93"/>
      <c r="F121" s="93"/>
      <c r="G121" s="93">
        <v>3000</v>
      </c>
    </row>
    <row r="122" spans="1:7">
      <c r="B122" t="s">
        <v>41</v>
      </c>
      <c r="C122" s="93">
        <v>3600</v>
      </c>
      <c r="D122" s="93"/>
      <c r="E122" s="93"/>
      <c r="F122" s="93"/>
      <c r="G122" s="93">
        <v>3600</v>
      </c>
    </row>
    <row r="123" spans="1:7">
      <c r="B123" t="s">
        <v>94</v>
      </c>
      <c r="C123" s="93">
        <v>3000</v>
      </c>
      <c r="D123" s="93"/>
      <c r="E123" s="93"/>
      <c r="F123" s="93"/>
      <c r="G123" s="93">
        <v>3000</v>
      </c>
    </row>
    <row r="124" spans="1:7">
      <c r="A124" t="s">
        <v>555</v>
      </c>
      <c r="C124" s="93">
        <v>9600</v>
      </c>
      <c r="D124" s="93"/>
      <c r="E124" s="93"/>
      <c r="F124" s="93"/>
      <c r="G124" s="93">
        <v>9600</v>
      </c>
    </row>
    <row r="125" spans="1:7">
      <c r="A125" t="s">
        <v>205</v>
      </c>
      <c r="B125" t="s">
        <v>51</v>
      </c>
      <c r="C125" s="93">
        <v>6000</v>
      </c>
      <c r="D125" s="93"/>
      <c r="E125" s="93"/>
      <c r="F125" s="93"/>
      <c r="G125" s="93">
        <v>6000</v>
      </c>
    </row>
    <row r="126" spans="1:7">
      <c r="B126" t="s">
        <v>54</v>
      </c>
      <c r="C126" s="93">
        <v>3600</v>
      </c>
      <c r="D126" s="93"/>
      <c r="E126" s="93"/>
      <c r="F126" s="93"/>
      <c r="G126" s="93">
        <v>3600</v>
      </c>
    </row>
    <row r="127" spans="1:7">
      <c r="B127" t="s">
        <v>56</v>
      </c>
      <c r="C127" s="93"/>
      <c r="D127" s="93"/>
      <c r="E127" s="93"/>
      <c r="F127" s="93"/>
      <c r="G127" s="93"/>
    </row>
    <row r="128" spans="1:7">
      <c r="A128" t="s">
        <v>556</v>
      </c>
      <c r="C128" s="93">
        <v>9600</v>
      </c>
      <c r="D128" s="93"/>
      <c r="E128" s="93"/>
      <c r="F128" s="93"/>
      <c r="G128" s="93">
        <v>9600</v>
      </c>
    </row>
    <row r="129" spans="1:7">
      <c r="A129" t="s">
        <v>136</v>
      </c>
      <c r="B129" t="s">
        <v>41</v>
      </c>
      <c r="C129" s="93">
        <v>4800</v>
      </c>
      <c r="D129" s="93"/>
      <c r="E129" s="93"/>
      <c r="F129" s="93"/>
      <c r="G129" s="93">
        <v>4800</v>
      </c>
    </row>
    <row r="130" spans="1:7">
      <c r="B130" t="s">
        <v>84</v>
      </c>
      <c r="C130" s="93"/>
      <c r="D130" s="93"/>
      <c r="E130" s="93">
        <v>4000</v>
      </c>
      <c r="F130" s="93"/>
      <c r="G130" s="93">
        <v>4000</v>
      </c>
    </row>
    <row r="131" spans="1:7">
      <c r="A131" t="s">
        <v>557</v>
      </c>
      <c r="C131" s="93">
        <v>4800</v>
      </c>
      <c r="D131" s="93"/>
      <c r="E131" s="93">
        <v>4000</v>
      </c>
      <c r="F131" s="93"/>
      <c r="G131" s="93">
        <v>8800</v>
      </c>
    </row>
    <row r="132" spans="1:7">
      <c r="A132" t="s">
        <v>215</v>
      </c>
      <c r="B132" t="s">
        <v>217</v>
      </c>
      <c r="C132" s="93"/>
      <c r="D132" s="93"/>
      <c r="E132" s="93"/>
      <c r="F132" s="93">
        <v>4800</v>
      </c>
      <c r="G132" s="93">
        <v>4800</v>
      </c>
    </row>
    <row r="133" spans="1:7">
      <c r="B133" t="s">
        <v>216</v>
      </c>
      <c r="C133" s="93">
        <v>3600</v>
      </c>
      <c r="D133" s="93"/>
      <c r="E133" s="93"/>
      <c r="F133" s="93"/>
      <c r="G133" s="93">
        <v>3600</v>
      </c>
    </row>
    <row r="134" spans="1:7">
      <c r="A134" t="s">
        <v>558</v>
      </c>
      <c r="C134" s="93">
        <v>3600</v>
      </c>
      <c r="D134" s="93"/>
      <c r="E134" s="93"/>
      <c r="F134" s="93">
        <v>4800</v>
      </c>
      <c r="G134" s="93">
        <v>8400</v>
      </c>
    </row>
    <row r="135" spans="1:7">
      <c r="A135" t="s">
        <v>246</v>
      </c>
      <c r="B135" t="s">
        <v>41</v>
      </c>
      <c r="C135" s="93">
        <v>7200</v>
      </c>
      <c r="D135" s="93"/>
      <c r="E135" s="93"/>
      <c r="F135" s="93"/>
      <c r="G135" s="93">
        <v>7200</v>
      </c>
    </row>
    <row r="136" spans="1:7">
      <c r="B136" t="s">
        <v>247</v>
      </c>
      <c r="C136" s="93"/>
      <c r="D136" s="93"/>
      <c r="E136" s="93">
        <v>1200</v>
      </c>
      <c r="F136" s="93"/>
      <c r="G136" s="93">
        <v>1200</v>
      </c>
    </row>
    <row r="137" spans="1:7">
      <c r="A137" t="s">
        <v>559</v>
      </c>
      <c r="C137" s="93">
        <v>7200</v>
      </c>
      <c r="D137" s="93"/>
      <c r="E137" s="93">
        <v>1200</v>
      </c>
      <c r="F137" s="93"/>
      <c r="G137" s="93">
        <v>8400</v>
      </c>
    </row>
    <row r="138" spans="1:7">
      <c r="A138" t="s">
        <v>255</v>
      </c>
      <c r="B138" t="s">
        <v>217</v>
      </c>
      <c r="C138" s="93">
        <v>8400</v>
      </c>
      <c r="D138" s="93"/>
      <c r="E138" s="93"/>
      <c r="F138" s="93"/>
      <c r="G138" s="93">
        <v>8400</v>
      </c>
    </row>
    <row r="139" spans="1:7">
      <c r="B139" t="s">
        <v>203</v>
      </c>
      <c r="C139" s="93"/>
      <c r="D139" s="93"/>
      <c r="E139" s="93"/>
      <c r="F139" s="93"/>
      <c r="G139" s="93"/>
    </row>
    <row r="140" spans="1:7">
      <c r="A140" t="s">
        <v>560</v>
      </c>
      <c r="C140" s="93">
        <v>8400</v>
      </c>
      <c r="D140" s="93"/>
      <c r="E140" s="93"/>
      <c r="F140" s="93"/>
      <c r="G140" s="93">
        <v>8400</v>
      </c>
    </row>
    <row r="141" spans="1:7">
      <c r="A141" t="s">
        <v>226</v>
      </c>
      <c r="B141" t="s">
        <v>41</v>
      </c>
      <c r="C141" s="93"/>
      <c r="D141" s="93"/>
      <c r="E141" s="93">
        <v>4800</v>
      </c>
      <c r="F141" s="93"/>
      <c r="G141" s="93">
        <v>4800</v>
      </c>
    </row>
    <row r="142" spans="1:7">
      <c r="B142" t="s">
        <v>216</v>
      </c>
      <c r="C142" s="93">
        <v>3600</v>
      </c>
      <c r="D142" s="93"/>
      <c r="E142" s="93"/>
      <c r="F142" s="93"/>
      <c r="G142" s="93">
        <v>3600</v>
      </c>
    </row>
    <row r="143" spans="1:7">
      <c r="A143" t="s">
        <v>561</v>
      </c>
      <c r="C143" s="93">
        <v>3600</v>
      </c>
      <c r="D143" s="93"/>
      <c r="E143" s="93">
        <v>4800</v>
      </c>
      <c r="F143" s="93"/>
      <c r="G143" s="93">
        <v>8400</v>
      </c>
    </row>
    <row r="144" spans="1:7">
      <c r="A144" t="s">
        <v>213</v>
      </c>
      <c r="B144" t="s">
        <v>41</v>
      </c>
      <c r="C144" s="93">
        <v>3600</v>
      </c>
      <c r="D144" s="93"/>
      <c r="E144" s="93"/>
      <c r="F144" s="93"/>
      <c r="G144" s="93">
        <v>3600</v>
      </c>
    </row>
    <row r="145" spans="1:7">
      <c r="B145" t="s">
        <v>84</v>
      </c>
      <c r="C145" s="93"/>
      <c r="D145" s="93"/>
      <c r="E145" s="93"/>
      <c r="F145" s="93">
        <v>4800</v>
      </c>
      <c r="G145" s="93">
        <v>4800</v>
      </c>
    </row>
    <row r="146" spans="1:7">
      <c r="A146" t="s">
        <v>562</v>
      </c>
      <c r="C146" s="93">
        <v>3600</v>
      </c>
      <c r="D146" s="93"/>
      <c r="E146" s="93"/>
      <c r="F146" s="93">
        <v>4800</v>
      </c>
      <c r="G146" s="93">
        <v>8400</v>
      </c>
    </row>
    <row r="147" spans="1:7">
      <c r="A147" t="s">
        <v>259</v>
      </c>
      <c r="B147" t="s">
        <v>217</v>
      </c>
      <c r="C147" s="93">
        <v>7200</v>
      </c>
      <c r="D147" s="93"/>
      <c r="E147" s="93"/>
      <c r="F147" s="93"/>
      <c r="G147" s="93">
        <v>7200</v>
      </c>
    </row>
    <row r="148" spans="1:7">
      <c r="B148" t="s">
        <v>203</v>
      </c>
      <c r="C148" s="93"/>
      <c r="D148" s="93"/>
      <c r="E148" s="93"/>
      <c r="F148" s="93">
        <v>1200</v>
      </c>
      <c r="G148" s="93">
        <v>1200</v>
      </c>
    </row>
    <row r="149" spans="1:7">
      <c r="A149" t="s">
        <v>563</v>
      </c>
      <c r="C149" s="93">
        <v>7200</v>
      </c>
      <c r="D149" s="93"/>
      <c r="E149" s="93"/>
      <c r="F149" s="93">
        <v>1200</v>
      </c>
      <c r="G149" s="93">
        <v>8400</v>
      </c>
    </row>
    <row r="150" spans="1:7">
      <c r="A150" t="s">
        <v>113</v>
      </c>
      <c r="B150" t="s">
        <v>41</v>
      </c>
      <c r="C150" s="93"/>
      <c r="D150" s="93"/>
      <c r="E150" s="93"/>
      <c r="F150" s="93">
        <v>3600</v>
      </c>
      <c r="G150" s="93">
        <v>3600</v>
      </c>
    </row>
    <row r="151" spans="1:7">
      <c r="B151" t="s">
        <v>94</v>
      </c>
      <c r="C151" s="93">
        <v>3600</v>
      </c>
      <c r="D151" s="93"/>
      <c r="E151" s="93"/>
      <c r="F151" s="93"/>
      <c r="G151" s="93">
        <v>3600</v>
      </c>
    </row>
    <row r="152" spans="1:7">
      <c r="A152" t="s">
        <v>564</v>
      </c>
      <c r="C152" s="93">
        <v>3600</v>
      </c>
      <c r="D152" s="93"/>
      <c r="E152" s="93"/>
      <c r="F152" s="93">
        <v>3600</v>
      </c>
      <c r="G152" s="93">
        <v>7200</v>
      </c>
    </row>
    <row r="153" spans="1:7">
      <c r="A153" t="s">
        <v>250</v>
      </c>
      <c r="B153" t="s">
        <v>84</v>
      </c>
      <c r="C153" s="93"/>
      <c r="D153" s="93">
        <v>3600</v>
      </c>
      <c r="E153" s="93"/>
      <c r="F153" s="93"/>
      <c r="G153" s="93">
        <v>3600</v>
      </c>
    </row>
    <row r="154" spans="1:7">
      <c r="B154" t="s">
        <v>252</v>
      </c>
      <c r="C154" s="93"/>
      <c r="D154" s="93"/>
      <c r="E154" s="93">
        <v>3600</v>
      </c>
      <c r="F154" s="93"/>
      <c r="G154" s="93">
        <v>3600</v>
      </c>
    </row>
    <row r="155" spans="1:7">
      <c r="A155" t="s">
        <v>565</v>
      </c>
      <c r="C155" s="93"/>
      <c r="D155" s="93">
        <v>3600</v>
      </c>
      <c r="E155" s="93">
        <v>3600</v>
      </c>
      <c r="F155" s="93"/>
      <c r="G155" s="93">
        <v>7200</v>
      </c>
    </row>
    <row r="156" spans="1:7">
      <c r="A156" t="s">
        <v>74</v>
      </c>
      <c r="B156" t="s">
        <v>76</v>
      </c>
      <c r="C156" s="93">
        <v>3600</v>
      </c>
      <c r="D156" s="93"/>
      <c r="E156" s="93"/>
      <c r="F156" s="93"/>
      <c r="G156" s="93">
        <v>3600</v>
      </c>
    </row>
    <row r="157" spans="1:7">
      <c r="B157" t="s">
        <v>79</v>
      </c>
      <c r="C157" s="93">
        <v>3600</v>
      </c>
      <c r="D157" s="93"/>
      <c r="E157" s="93"/>
      <c r="F157" s="93"/>
      <c r="G157" s="93">
        <v>3600</v>
      </c>
    </row>
    <row r="158" spans="1:7">
      <c r="A158" t="s">
        <v>566</v>
      </c>
      <c r="C158" s="93">
        <v>7200</v>
      </c>
      <c r="D158" s="93"/>
      <c r="E158" s="93"/>
      <c r="F158" s="93"/>
      <c r="G158" s="93">
        <v>7200</v>
      </c>
    </row>
    <row r="159" spans="1:7">
      <c r="A159" t="s">
        <v>122</v>
      </c>
      <c r="B159" t="s">
        <v>41</v>
      </c>
      <c r="C159" s="93">
        <v>0</v>
      </c>
      <c r="D159" s="93"/>
      <c r="E159" s="93"/>
      <c r="F159" s="93"/>
      <c r="G159" s="93">
        <v>0</v>
      </c>
    </row>
    <row r="160" spans="1:7">
      <c r="B160" t="s">
        <v>84</v>
      </c>
      <c r="C160" s="93">
        <v>3600</v>
      </c>
      <c r="D160" s="93"/>
      <c r="E160" s="93"/>
      <c r="F160" s="93"/>
      <c r="G160" s="93">
        <v>3600</v>
      </c>
    </row>
    <row r="161" spans="1:7">
      <c r="B161" t="s">
        <v>86</v>
      </c>
      <c r="C161" s="93"/>
      <c r="D161" s="93"/>
      <c r="E161" s="93"/>
      <c r="F161" s="93">
        <v>3600</v>
      </c>
      <c r="G161" s="93">
        <v>3600</v>
      </c>
    </row>
    <row r="162" spans="1:7">
      <c r="A162" t="s">
        <v>567</v>
      </c>
      <c r="C162" s="93">
        <v>3600</v>
      </c>
      <c r="D162" s="93"/>
      <c r="E162" s="93"/>
      <c r="F162" s="93">
        <v>3600</v>
      </c>
      <c r="G162" s="93">
        <v>7200</v>
      </c>
    </row>
    <row r="163" spans="1:7">
      <c r="A163" t="s">
        <v>96</v>
      </c>
      <c r="B163" t="s">
        <v>41</v>
      </c>
      <c r="C163" s="93">
        <v>3600</v>
      </c>
      <c r="D163" s="93"/>
      <c r="E163" s="93"/>
      <c r="F163" s="93"/>
      <c r="G163" s="93">
        <v>3600</v>
      </c>
    </row>
    <row r="164" spans="1:7">
      <c r="B164" t="s">
        <v>84</v>
      </c>
      <c r="C164" s="93">
        <v>3600</v>
      </c>
      <c r="D164" s="93"/>
      <c r="E164" s="93"/>
      <c r="F164" s="93"/>
      <c r="G164" s="93">
        <v>3600</v>
      </c>
    </row>
    <row r="165" spans="1:7">
      <c r="A165" t="s">
        <v>568</v>
      </c>
      <c r="C165" s="93">
        <v>7200</v>
      </c>
      <c r="D165" s="93"/>
      <c r="E165" s="93"/>
      <c r="F165" s="93"/>
      <c r="G165" s="93">
        <v>7200</v>
      </c>
    </row>
    <row r="166" spans="1:7">
      <c r="A166" t="s">
        <v>223</v>
      </c>
      <c r="B166" t="s">
        <v>36</v>
      </c>
      <c r="C166" s="93">
        <v>4800</v>
      </c>
      <c r="D166" s="93"/>
      <c r="E166" s="93"/>
      <c r="F166" s="93"/>
      <c r="G166" s="93">
        <v>4800</v>
      </c>
    </row>
    <row r="167" spans="1:7">
      <c r="B167" t="s">
        <v>216</v>
      </c>
      <c r="C167" s="93"/>
      <c r="D167" s="93"/>
      <c r="E167" s="93">
        <v>2400</v>
      </c>
      <c r="F167" s="93"/>
      <c r="G167" s="93">
        <v>2400</v>
      </c>
    </row>
    <row r="168" spans="1:7">
      <c r="A168" t="s">
        <v>569</v>
      </c>
      <c r="C168" s="93">
        <v>4800</v>
      </c>
      <c r="D168" s="93"/>
      <c r="E168" s="93">
        <v>2400</v>
      </c>
      <c r="F168" s="93"/>
      <c r="G168" s="93">
        <v>7200</v>
      </c>
    </row>
    <row r="169" spans="1:7">
      <c r="A169" t="s">
        <v>44</v>
      </c>
      <c r="B169" t="s">
        <v>36</v>
      </c>
      <c r="C169" s="93">
        <v>2500</v>
      </c>
      <c r="D169" s="93"/>
      <c r="E169" s="93"/>
      <c r="F169" s="93"/>
      <c r="G169" s="93">
        <v>2500</v>
      </c>
    </row>
    <row r="170" spans="1:7">
      <c r="B170" t="s">
        <v>41</v>
      </c>
      <c r="C170" s="93">
        <v>3600</v>
      </c>
      <c r="D170" s="93"/>
      <c r="E170" s="93"/>
      <c r="F170" s="93"/>
      <c r="G170" s="93">
        <v>3600</v>
      </c>
    </row>
    <row r="171" spans="1:7">
      <c r="A171" t="s">
        <v>570</v>
      </c>
      <c r="C171" s="93">
        <v>6100</v>
      </c>
      <c r="D171" s="93"/>
      <c r="E171" s="93"/>
      <c r="F171" s="93"/>
      <c r="G171" s="93">
        <v>6100</v>
      </c>
    </row>
    <row r="172" spans="1:7">
      <c r="A172" t="s">
        <v>131</v>
      </c>
      <c r="B172" t="s">
        <v>51</v>
      </c>
      <c r="C172" s="93"/>
      <c r="D172" s="93"/>
      <c r="E172" s="93"/>
      <c r="F172" s="93">
        <v>6000</v>
      </c>
      <c r="G172" s="93">
        <v>6000</v>
      </c>
    </row>
    <row r="173" spans="1:7">
      <c r="A173" t="s">
        <v>571</v>
      </c>
      <c r="C173" s="93"/>
      <c r="D173" s="93"/>
      <c r="E173" s="93"/>
      <c r="F173" s="93">
        <v>6000</v>
      </c>
      <c r="G173" s="93">
        <v>6000</v>
      </c>
    </row>
    <row r="174" spans="1:7">
      <c r="A174" t="s">
        <v>286</v>
      </c>
      <c r="B174" t="s">
        <v>41</v>
      </c>
      <c r="C174" s="93"/>
      <c r="D174" s="93">
        <v>6000</v>
      </c>
      <c r="E174" s="93"/>
      <c r="F174" s="93"/>
      <c r="G174" s="93">
        <v>6000</v>
      </c>
    </row>
    <row r="175" spans="1:7">
      <c r="A175" t="s">
        <v>572</v>
      </c>
      <c r="C175" s="93"/>
      <c r="D175" s="93">
        <v>6000</v>
      </c>
      <c r="E175" s="93"/>
      <c r="F175" s="93"/>
      <c r="G175" s="93">
        <v>6000</v>
      </c>
    </row>
    <row r="176" spans="1:7">
      <c r="A176" t="s">
        <v>261</v>
      </c>
      <c r="B176" t="s">
        <v>36</v>
      </c>
      <c r="C176" s="93">
        <v>4800</v>
      </c>
      <c r="D176" s="93"/>
      <c r="E176" s="93"/>
      <c r="F176" s="93"/>
      <c r="G176" s="93">
        <v>4800</v>
      </c>
    </row>
    <row r="177" spans="1:7">
      <c r="B177" t="s">
        <v>216</v>
      </c>
      <c r="C177" s="93"/>
      <c r="D177" s="93"/>
      <c r="E177" s="93"/>
      <c r="F177" s="93">
        <v>1200</v>
      </c>
      <c r="G177" s="93">
        <v>1200</v>
      </c>
    </row>
    <row r="178" spans="1:7">
      <c r="A178" t="s">
        <v>573</v>
      </c>
      <c r="C178" s="93">
        <v>4800</v>
      </c>
      <c r="D178" s="93"/>
      <c r="E178" s="93"/>
      <c r="F178" s="93">
        <v>1200</v>
      </c>
      <c r="G178" s="93">
        <v>6000</v>
      </c>
    </row>
    <row r="179" spans="1:7">
      <c r="A179" t="s">
        <v>201</v>
      </c>
      <c r="B179" t="s">
        <v>203</v>
      </c>
      <c r="C179" s="93"/>
      <c r="D179" s="93"/>
      <c r="E179" s="93">
        <v>1800</v>
      </c>
      <c r="F179" s="93"/>
      <c r="G179" s="93">
        <v>1800</v>
      </c>
    </row>
    <row r="180" spans="1:7">
      <c r="B180" t="s">
        <v>41</v>
      </c>
      <c r="C180" s="93">
        <v>3600</v>
      </c>
      <c r="D180" s="93"/>
      <c r="E180" s="93"/>
      <c r="F180" s="93"/>
      <c r="G180" s="93">
        <v>3600</v>
      </c>
    </row>
    <row r="181" spans="1:7">
      <c r="A181" t="s">
        <v>574</v>
      </c>
      <c r="C181" s="93">
        <v>3600</v>
      </c>
      <c r="D181" s="93"/>
      <c r="E181" s="93">
        <v>1800</v>
      </c>
      <c r="F181" s="93"/>
      <c r="G181" s="93">
        <v>5400</v>
      </c>
    </row>
    <row r="182" spans="1:7">
      <c r="A182" t="s">
        <v>116</v>
      </c>
      <c r="B182" t="s">
        <v>76</v>
      </c>
      <c r="C182" s="93">
        <v>5000</v>
      </c>
      <c r="D182" s="93"/>
      <c r="E182" s="93"/>
      <c r="F182" s="93"/>
      <c r="G182" s="93">
        <v>5000</v>
      </c>
    </row>
    <row r="183" spans="1:7">
      <c r="A183" t="s">
        <v>575</v>
      </c>
      <c r="C183" s="93">
        <v>5000</v>
      </c>
      <c r="D183" s="93"/>
      <c r="E183" s="93"/>
      <c r="F183" s="93"/>
      <c r="G183" s="93">
        <v>5000</v>
      </c>
    </row>
    <row r="184" spans="1:7">
      <c r="A184" t="s">
        <v>144</v>
      </c>
      <c r="B184" t="s">
        <v>41</v>
      </c>
      <c r="C184" s="93"/>
      <c r="D184" s="93"/>
      <c r="E184" s="93"/>
      <c r="F184" s="93">
        <v>4800</v>
      </c>
      <c r="G184" s="93">
        <v>4800</v>
      </c>
    </row>
    <row r="185" spans="1:7">
      <c r="A185" t="s">
        <v>576</v>
      </c>
      <c r="C185" s="93"/>
      <c r="D185" s="93"/>
      <c r="E185" s="93"/>
      <c r="F185" s="93">
        <v>4800</v>
      </c>
      <c r="G185" s="93">
        <v>4800</v>
      </c>
    </row>
    <row r="186" spans="1:7">
      <c r="A186" t="s">
        <v>134</v>
      </c>
      <c r="B186" t="s">
        <v>51</v>
      </c>
      <c r="C186" s="93">
        <v>4800</v>
      </c>
      <c r="D186" s="93"/>
      <c r="E186" s="93"/>
      <c r="F186" s="93"/>
      <c r="G186" s="93">
        <v>4800</v>
      </c>
    </row>
    <row r="187" spans="1:7">
      <c r="A187" t="s">
        <v>577</v>
      </c>
      <c r="C187" s="93">
        <v>4800</v>
      </c>
      <c r="D187" s="93"/>
      <c r="E187" s="93"/>
      <c r="F187" s="93"/>
      <c r="G187" s="93">
        <v>4800</v>
      </c>
    </row>
    <row r="188" spans="1:7">
      <c r="A188" t="s">
        <v>305</v>
      </c>
      <c r="B188" t="s">
        <v>217</v>
      </c>
      <c r="C188" s="93">
        <v>4800</v>
      </c>
      <c r="D188" s="93"/>
      <c r="E188" s="93"/>
      <c r="F188" s="93"/>
      <c r="G188" s="93">
        <v>4800</v>
      </c>
    </row>
    <row r="189" spans="1:7">
      <c r="A189" t="s">
        <v>578</v>
      </c>
      <c r="C189" s="93">
        <v>4800</v>
      </c>
      <c r="D189" s="93"/>
      <c r="E189" s="93"/>
      <c r="F189" s="93"/>
      <c r="G189" s="93">
        <v>4800</v>
      </c>
    </row>
    <row r="190" spans="1:7">
      <c r="A190" t="s">
        <v>299</v>
      </c>
      <c r="B190" t="s">
        <v>217</v>
      </c>
      <c r="C190" s="93"/>
      <c r="D190" s="93"/>
      <c r="E190" s="93"/>
      <c r="F190" s="93"/>
      <c r="G190" s="93"/>
    </row>
    <row r="191" spans="1:7">
      <c r="B191" t="s">
        <v>216</v>
      </c>
      <c r="C191" s="93">
        <v>3600</v>
      </c>
      <c r="D191" s="93"/>
      <c r="E191" s="93"/>
      <c r="F191" s="93"/>
      <c r="G191" s="93">
        <v>3600</v>
      </c>
    </row>
    <row r="192" spans="1:7">
      <c r="A192" t="s">
        <v>579</v>
      </c>
      <c r="C192" s="93">
        <v>3600</v>
      </c>
      <c r="D192" s="93"/>
      <c r="E192" s="93"/>
      <c r="F192" s="93"/>
      <c r="G192" s="93">
        <v>3600</v>
      </c>
    </row>
    <row r="193" spans="1:7">
      <c r="A193" t="s">
        <v>186</v>
      </c>
      <c r="B193" t="s">
        <v>36</v>
      </c>
      <c r="C193" s="93">
        <v>3600</v>
      </c>
      <c r="D193" s="93"/>
      <c r="E193" s="93"/>
      <c r="F193" s="93"/>
      <c r="G193" s="93">
        <v>3600</v>
      </c>
    </row>
    <row r="194" spans="1:7">
      <c r="B194" t="s">
        <v>94</v>
      </c>
      <c r="C194" s="93"/>
      <c r="D194" s="93"/>
      <c r="E194" s="93"/>
      <c r="F194" s="93"/>
      <c r="G194" s="93"/>
    </row>
    <row r="195" spans="1:7">
      <c r="A195" t="s">
        <v>580</v>
      </c>
      <c r="C195" s="93">
        <v>3600</v>
      </c>
      <c r="D195" s="93"/>
      <c r="E195" s="93"/>
      <c r="F195" s="93"/>
      <c r="G195" s="93">
        <v>3600</v>
      </c>
    </row>
    <row r="196" spans="1:7">
      <c r="A196" t="s">
        <v>283</v>
      </c>
      <c r="B196" t="s">
        <v>41</v>
      </c>
      <c r="C196" s="93"/>
      <c r="D196" s="93"/>
      <c r="E196" s="93"/>
      <c r="F196" s="93">
        <v>3600</v>
      </c>
      <c r="G196" s="93">
        <v>3600</v>
      </c>
    </row>
    <row r="197" spans="1:7">
      <c r="A197" t="s">
        <v>581</v>
      </c>
      <c r="C197" s="93"/>
      <c r="D197" s="93"/>
      <c r="E197" s="93"/>
      <c r="F197" s="93">
        <v>3600</v>
      </c>
      <c r="G197" s="93">
        <v>3600</v>
      </c>
    </row>
    <row r="198" spans="1:7">
      <c r="A198" t="s">
        <v>302</v>
      </c>
      <c r="B198" t="s">
        <v>217</v>
      </c>
      <c r="C198" s="93"/>
      <c r="D198" s="93"/>
      <c r="E198" s="93"/>
      <c r="F198" s="93"/>
      <c r="G198" s="93"/>
    </row>
    <row r="199" spans="1:7">
      <c r="B199" t="s">
        <v>216</v>
      </c>
      <c r="C199" s="93">
        <v>3600</v>
      </c>
      <c r="D199" s="93"/>
      <c r="E199" s="93"/>
      <c r="F199" s="93"/>
      <c r="G199" s="93">
        <v>3600</v>
      </c>
    </row>
    <row r="200" spans="1:7">
      <c r="A200" t="s">
        <v>582</v>
      </c>
      <c r="C200" s="93">
        <v>3600</v>
      </c>
      <c r="D200" s="93"/>
      <c r="E200" s="93"/>
      <c r="F200" s="93"/>
      <c r="G200" s="93">
        <v>3600</v>
      </c>
    </row>
    <row r="201" spans="1:7">
      <c r="A201" t="s">
        <v>297</v>
      </c>
      <c r="B201" t="s">
        <v>41</v>
      </c>
      <c r="C201" s="93"/>
      <c r="D201" s="93"/>
      <c r="E201" s="93"/>
      <c r="F201" s="93">
        <v>3600</v>
      </c>
      <c r="G201" s="93">
        <v>3600</v>
      </c>
    </row>
    <row r="202" spans="1:7">
      <c r="A202" t="s">
        <v>583</v>
      </c>
      <c r="C202" s="93"/>
      <c r="D202" s="93"/>
      <c r="E202" s="93"/>
      <c r="F202" s="93">
        <v>3600</v>
      </c>
      <c r="G202" s="93">
        <v>3600</v>
      </c>
    </row>
    <row r="203" spans="1:7">
      <c r="A203" t="s">
        <v>129</v>
      </c>
      <c r="B203" t="s">
        <v>41</v>
      </c>
      <c r="C203" s="93">
        <v>3600</v>
      </c>
      <c r="D203" s="93"/>
      <c r="E203" s="93"/>
      <c r="F203" s="93"/>
      <c r="G203" s="93">
        <v>3600</v>
      </c>
    </row>
    <row r="204" spans="1:7">
      <c r="A204" t="s">
        <v>584</v>
      </c>
      <c r="C204" s="93">
        <v>3600</v>
      </c>
      <c r="D204" s="93"/>
      <c r="E204" s="93"/>
      <c r="F204" s="93"/>
      <c r="G204" s="93">
        <v>3600</v>
      </c>
    </row>
    <row r="205" spans="1:7">
      <c r="A205" t="s">
        <v>119</v>
      </c>
      <c r="B205" t="s">
        <v>36</v>
      </c>
      <c r="C205" s="93">
        <v>3600</v>
      </c>
      <c r="D205" s="93"/>
      <c r="E205" s="93"/>
      <c r="F205" s="93"/>
      <c r="G205" s="93">
        <v>3600</v>
      </c>
    </row>
    <row r="206" spans="1:7">
      <c r="A206" t="s">
        <v>585</v>
      </c>
      <c r="C206" s="93">
        <v>3600</v>
      </c>
      <c r="D206" s="93"/>
      <c r="E206" s="93"/>
      <c r="F206" s="93"/>
      <c r="G206" s="93">
        <v>3600</v>
      </c>
    </row>
    <row r="207" spans="1:7">
      <c r="A207" t="s">
        <v>184</v>
      </c>
      <c r="B207" t="s">
        <v>51</v>
      </c>
      <c r="C207" s="93">
        <v>3600</v>
      </c>
      <c r="D207" s="93"/>
      <c r="E207" s="93"/>
      <c r="F207" s="93"/>
      <c r="G207" s="93">
        <v>3600</v>
      </c>
    </row>
    <row r="208" spans="1:7">
      <c r="A208" t="s">
        <v>586</v>
      </c>
      <c r="C208" s="93">
        <v>3600</v>
      </c>
      <c r="D208" s="93"/>
      <c r="E208" s="93"/>
      <c r="F208" s="93"/>
      <c r="G208" s="93">
        <v>3600</v>
      </c>
    </row>
    <row r="209" spans="1:7">
      <c r="A209" t="s">
        <v>125</v>
      </c>
      <c r="B209" t="s">
        <v>41</v>
      </c>
      <c r="C209" s="93">
        <v>3600</v>
      </c>
      <c r="D209" s="93"/>
      <c r="E209" s="93"/>
      <c r="F209" s="93"/>
      <c r="G209" s="93">
        <v>3600</v>
      </c>
    </row>
    <row r="210" spans="1:7">
      <c r="A210" t="s">
        <v>587</v>
      </c>
      <c r="C210" s="93">
        <v>3600</v>
      </c>
      <c r="D210" s="93"/>
      <c r="E210" s="93"/>
      <c r="F210" s="93"/>
      <c r="G210" s="93">
        <v>3600</v>
      </c>
    </row>
    <row r="211" spans="1:7">
      <c r="A211" t="s">
        <v>199</v>
      </c>
      <c r="B211" t="s">
        <v>94</v>
      </c>
      <c r="C211" s="93">
        <v>3600</v>
      </c>
      <c r="D211" s="93"/>
      <c r="E211" s="93"/>
      <c r="F211" s="93"/>
      <c r="G211" s="93">
        <v>3600</v>
      </c>
    </row>
    <row r="212" spans="1:7">
      <c r="A212" t="s">
        <v>588</v>
      </c>
      <c r="C212" s="93">
        <v>3600</v>
      </c>
      <c r="D212" s="93"/>
      <c r="E212" s="93"/>
      <c r="F212" s="93"/>
      <c r="G212" s="93">
        <v>3600</v>
      </c>
    </row>
    <row r="213" spans="1:7">
      <c r="A213" t="s">
        <v>263</v>
      </c>
      <c r="B213" t="s">
        <v>217</v>
      </c>
      <c r="C213" s="93"/>
      <c r="D213" s="93"/>
      <c r="E213" s="93"/>
      <c r="F213" s="93"/>
      <c r="G213" s="93"/>
    </row>
    <row r="214" spans="1:7">
      <c r="B214" t="s">
        <v>264</v>
      </c>
      <c r="C214" s="93">
        <v>3000</v>
      </c>
      <c r="D214" s="93"/>
      <c r="E214" s="93"/>
      <c r="F214" s="93"/>
      <c r="G214" s="93">
        <v>3000</v>
      </c>
    </row>
    <row r="215" spans="1:7">
      <c r="A215" t="s">
        <v>589</v>
      </c>
      <c r="C215" s="93">
        <v>3000</v>
      </c>
      <c r="D215" s="93"/>
      <c r="E215" s="93"/>
      <c r="F215" s="93"/>
      <c r="G215" s="93">
        <v>3000</v>
      </c>
    </row>
    <row r="216" spans="1:7">
      <c r="A216" t="s">
        <v>142</v>
      </c>
      <c r="B216" t="s">
        <v>94</v>
      </c>
      <c r="C216" s="93">
        <v>3000</v>
      </c>
      <c r="D216" s="93"/>
      <c r="E216" s="93"/>
      <c r="F216" s="93"/>
      <c r="G216" s="93">
        <v>3000</v>
      </c>
    </row>
    <row r="217" spans="1:7">
      <c r="A217" t="s">
        <v>590</v>
      </c>
      <c r="C217" s="93">
        <v>3000</v>
      </c>
      <c r="D217" s="93"/>
      <c r="E217" s="93"/>
      <c r="F217" s="93"/>
      <c r="G217" s="93">
        <v>3000</v>
      </c>
    </row>
    <row r="218" spans="1:7">
      <c r="A218" t="s">
        <v>209</v>
      </c>
      <c r="B218" t="s">
        <v>94</v>
      </c>
      <c r="C218" s="93"/>
      <c r="D218" s="93"/>
      <c r="E218" s="93"/>
      <c r="F218" s="93">
        <v>3000</v>
      </c>
      <c r="G218" s="93">
        <v>3000</v>
      </c>
    </row>
    <row r="219" spans="1:7">
      <c r="A219" t="s">
        <v>591</v>
      </c>
      <c r="C219" s="93"/>
      <c r="D219" s="93"/>
      <c r="E219" s="93"/>
      <c r="F219" s="93">
        <v>3000</v>
      </c>
      <c r="G219" s="93">
        <v>3000</v>
      </c>
    </row>
    <row r="220" spans="1:7">
      <c r="A220" t="s">
        <v>281</v>
      </c>
      <c r="B220" t="s">
        <v>264</v>
      </c>
      <c r="C220" s="93"/>
      <c r="D220" s="93"/>
      <c r="E220" s="93"/>
      <c r="F220" s="93">
        <v>2500</v>
      </c>
      <c r="G220" s="93">
        <v>2500</v>
      </c>
    </row>
    <row r="221" spans="1:7">
      <c r="A221" t="s">
        <v>592</v>
      </c>
      <c r="C221" s="93"/>
      <c r="D221" s="93"/>
      <c r="E221" s="93"/>
      <c r="F221" s="93">
        <v>2500</v>
      </c>
      <c r="G221" s="93">
        <v>2500</v>
      </c>
    </row>
    <row r="222" spans="1:7">
      <c r="A222" t="s">
        <v>278</v>
      </c>
      <c r="B222" t="s">
        <v>264</v>
      </c>
      <c r="C222" s="93"/>
      <c r="D222" s="93"/>
      <c r="E222" s="93"/>
      <c r="F222" s="93">
        <v>2500</v>
      </c>
      <c r="G222" s="93">
        <v>2500</v>
      </c>
    </row>
    <row r="223" spans="1:7">
      <c r="A223" t="s">
        <v>593</v>
      </c>
      <c r="C223" s="93"/>
      <c r="D223" s="93"/>
      <c r="E223" s="93"/>
      <c r="F223" s="93">
        <v>2500</v>
      </c>
      <c r="G223" s="93">
        <v>2500</v>
      </c>
    </row>
    <row r="224" spans="1:7">
      <c r="A224" t="s">
        <v>243</v>
      </c>
      <c r="B224" t="s">
        <v>217</v>
      </c>
      <c r="C224" s="93"/>
      <c r="D224" s="93"/>
      <c r="E224" s="93"/>
      <c r="F224" s="93">
        <v>2400</v>
      </c>
      <c r="G224" s="93">
        <v>2400</v>
      </c>
    </row>
    <row r="225" spans="1:7">
      <c r="A225" t="s">
        <v>594</v>
      </c>
      <c r="C225" s="93"/>
      <c r="D225" s="93"/>
      <c r="E225" s="93"/>
      <c r="F225" s="93">
        <v>2400</v>
      </c>
      <c r="G225" s="93">
        <v>2400</v>
      </c>
    </row>
    <row r="226" spans="1:7">
      <c r="A226" t="s">
        <v>287</v>
      </c>
      <c r="B226" t="s">
        <v>247</v>
      </c>
      <c r="C226" s="93"/>
      <c r="D226" s="93">
        <v>2400</v>
      </c>
      <c r="E226" s="93"/>
      <c r="F226" s="93"/>
      <c r="G226" s="93">
        <v>2400</v>
      </c>
    </row>
    <row r="227" spans="1:7">
      <c r="B227" t="s">
        <v>252</v>
      </c>
      <c r="C227" s="93"/>
      <c r="D227" s="93"/>
      <c r="E227" s="93"/>
      <c r="F227" s="93"/>
      <c r="G227" s="93"/>
    </row>
    <row r="228" spans="1:7">
      <c r="A228" t="s">
        <v>595</v>
      </c>
      <c r="C228" s="93"/>
      <c r="D228" s="93">
        <v>2400</v>
      </c>
      <c r="E228" s="93"/>
      <c r="F228" s="93"/>
      <c r="G228" s="93">
        <v>2400</v>
      </c>
    </row>
    <row r="229" spans="1:7">
      <c r="A229" t="s">
        <v>197</v>
      </c>
      <c r="B229" t="s">
        <v>51</v>
      </c>
      <c r="C229" s="93"/>
      <c r="D229" s="93"/>
      <c r="E229" s="93"/>
      <c r="F229" s="93">
        <v>1400</v>
      </c>
      <c r="G229" s="93">
        <v>1400</v>
      </c>
    </row>
    <row r="230" spans="1:7">
      <c r="A230" t="s">
        <v>596</v>
      </c>
      <c r="C230" s="93"/>
      <c r="D230" s="93"/>
      <c r="E230" s="93"/>
      <c r="F230" s="93">
        <v>1400</v>
      </c>
      <c r="G230" s="93">
        <v>1400</v>
      </c>
    </row>
    <row r="231" spans="1:7">
      <c r="A231" t="s">
        <v>273</v>
      </c>
      <c r="B231" t="s">
        <v>41</v>
      </c>
      <c r="C231" s="93"/>
      <c r="D231" s="93"/>
      <c r="E231" s="93"/>
      <c r="F231" s="93">
        <v>1200</v>
      </c>
      <c r="G231" s="93">
        <v>1200</v>
      </c>
    </row>
    <row r="232" spans="1:7">
      <c r="A232" t="s">
        <v>597</v>
      </c>
      <c r="C232" s="93"/>
      <c r="D232" s="93"/>
      <c r="E232" s="93"/>
      <c r="F232" s="93">
        <v>1200</v>
      </c>
      <c r="G232" s="93">
        <v>1200</v>
      </c>
    </row>
    <row r="233" spans="1:7">
      <c r="A233" t="s">
        <v>289</v>
      </c>
      <c r="B233" t="s">
        <v>41</v>
      </c>
      <c r="C233" s="93"/>
      <c r="D233" s="93"/>
      <c r="E233" s="93"/>
      <c r="F233" s="93">
        <v>1200</v>
      </c>
      <c r="G233" s="93">
        <v>1200</v>
      </c>
    </row>
    <row r="234" spans="1:7">
      <c r="A234" t="s">
        <v>598</v>
      </c>
      <c r="C234" s="93"/>
      <c r="D234" s="93"/>
      <c r="E234" s="93"/>
      <c r="F234" s="93">
        <v>1200</v>
      </c>
      <c r="G234" s="93">
        <v>1200</v>
      </c>
    </row>
    <row r="235" spans="1:7">
      <c r="A235" t="s">
        <v>33</v>
      </c>
      <c r="B235" t="s">
        <v>36</v>
      </c>
      <c r="C235" s="93">
        <v>0</v>
      </c>
      <c r="D235" s="93"/>
      <c r="E235" s="93"/>
      <c r="F235" s="93"/>
      <c r="G235" s="93">
        <v>0</v>
      </c>
    </row>
    <row r="236" spans="1:7">
      <c r="B236" t="s">
        <v>41</v>
      </c>
      <c r="C236" s="93">
        <v>0</v>
      </c>
      <c r="D236" s="93"/>
      <c r="E236" s="93"/>
      <c r="F236" s="93"/>
      <c r="G236" s="93">
        <v>0</v>
      </c>
    </row>
    <row r="237" spans="1:7">
      <c r="A237" t="s">
        <v>599</v>
      </c>
      <c r="C237" s="93">
        <v>0</v>
      </c>
      <c r="D237" s="93"/>
      <c r="E237" s="93"/>
      <c r="F237" s="93"/>
      <c r="G237" s="93">
        <v>0</v>
      </c>
    </row>
    <row r="238" spans="1:7">
      <c r="A238" t="s">
        <v>506</v>
      </c>
      <c r="C238" s="93">
        <v>398900</v>
      </c>
      <c r="D238" s="93">
        <v>44400</v>
      </c>
      <c r="E238" s="93">
        <v>63400</v>
      </c>
      <c r="F238" s="93">
        <v>71800</v>
      </c>
      <c r="G238" s="93">
        <v>578500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59AF2-705A-4545-8BB6-D2E2E391AFC0}">
  <dimension ref="B1:Y17"/>
  <sheetViews>
    <sheetView topLeftCell="B1" workbookViewId="0">
      <selection activeCell="N1" sqref="N1"/>
    </sheetView>
  </sheetViews>
  <sheetFormatPr defaultRowHeight="15"/>
  <cols>
    <col min="2" max="2" width="21.42578125" bestFit="1" customWidth="1"/>
    <col min="3" max="3" width="9.140625" bestFit="1" customWidth="1"/>
    <col min="4" max="4" width="8.42578125" bestFit="1" customWidth="1"/>
    <col min="5" max="5" width="7.5703125" bestFit="1" customWidth="1"/>
    <col min="6" max="6" width="9" bestFit="1" customWidth="1"/>
    <col min="7" max="7" width="6.85546875" bestFit="1" customWidth="1"/>
    <col min="8" max="8" width="7.85546875" bestFit="1" customWidth="1"/>
    <col min="9" max="9" width="7.7109375" bestFit="1" customWidth="1"/>
    <col min="10" max="10" width="7.140625" bestFit="1" customWidth="1"/>
    <col min="11" max="11" width="7.42578125" bestFit="1" customWidth="1"/>
    <col min="12" max="12" width="5.7109375" bestFit="1" customWidth="1"/>
    <col min="13" max="14" width="11.140625" customWidth="1"/>
    <col min="15" max="15" width="8.7109375" customWidth="1"/>
    <col min="16" max="22" width="6.7109375" customWidth="1"/>
    <col min="23" max="23" width="14" bestFit="1" customWidth="1"/>
    <col min="24" max="24" width="21.42578125" bestFit="1" customWidth="1"/>
    <col min="25" max="25" width="18.7109375" bestFit="1" customWidth="1"/>
    <col min="26" max="26" width="26.28515625" bestFit="1" customWidth="1"/>
  </cols>
  <sheetData>
    <row r="1" spans="2:25">
      <c r="B1" s="55" t="s">
        <v>7</v>
      </c>
      <c r="C1" t="s">
        <v>65</v>
      </c>
      <c r="K1">
        <f>K15*1200</f>
        <v>8400</v>
      </c>
    </row>
    <row r="3" spans="2:25">
      <c r="B3" s="55" t="s">
        <v>524</v>
      </c>
      <c r="C3" s="55" t="s">
        <v>14</v>
      </c>
      <c r="O3" s="153" t="s">
        <v>600</v>
      </c>
      <c r="P3" s="152" t="s">
        <v>601</v>
      </c>
      <c r="Q3" s="152"/>
      <c r="R3" s="152"/>
      <c r="S3" s="152"/>
      <c r="T3" s="152"/>
      <c r="U3" s="152"/>
      <c r="V3" s="152"/>
      <c r="W3" s="1"/>
    </row>
    <row r="4" spans="2:25">
      <c r="B4" s="55" t="s">
        <v>5</v>
      </c>
      <c r="C4" t="s">
        <v>162</v>
      </c>
      <c r="D4" t="s">
        <v>145</v>
      </c>
      <c r="E4" t="s">
        <v>52</v>
      </c>
      <c r="F4" t="s">
        <v>168</v>
      </c>
      <c r="G4" t="s">
        <v>77</v>
      </c>
      <c r="H4" t="s">
        <v>211</v>
      </c>
      <c r="I4" t="s">
        <v>100</v>
      </c>
      <c r="J4" t="s">
        <v>602</v>
      </c>
      <c r="K4" t="s">
        <v>151</v>
      </c>
      <c r="L4" t="s">
        <v>292</v>
      </c>
      <c r="M4" t="s">
        <v>506</v>
      </c>
      <c r="O4" s="153"/>
      <c r="P4" s="1" t="s">
        <v>603</v>
      </c>
      <c r="Q4" s="1" t="s">
        <v>604</v>
      </c>
      <c r="R4" s="1" t="s">
        <v>605</v>
      </c>
      <c r="S4" s="1" t="s">
        <v>606</v>
      </c>
      <c r="T4" s="1" t="s">
        <v>607</v>
      </c>
      <c r="U4" s="1" t="s">
        <v>608</v>
      </c>
      <c r="V4" s="1" t="s">
        <v>609</v>
      </c>
      <c r="W4" s="1" t="s">
        <v>610</v>
      </c>
      <c r="X4" t="s">
        <v>611</v>
      </c>
    </row>
    <row r="5" spans="2:25">
      <c r="B5" t="s">
        <v>34</v>
      </c>
      <c r="K5">
        <v>1</v>
      </c>
      <c r="M5">
        <v>1</v>
      </c>
      <c r="O5" s="61" t="s">
        <v>612</v>
      </c>
      <c r="P5" s="62">
        <v>1</v>
      </c>
      <c r="Q5" s="62">
        <v>1</v>
      </c>
      <c r="R5" s="62">
        <v>1</v>
      </c>
      <c r="S5" s="62">
        <v>1</v>
      </c>
      <c r="T5" s="1"/>
      <c r="U5" s="62">
        <v>1</v>
      </c>
      <c r="V5" s="62">
        <v>1</v>
      </c>
      <c r="W5" s="1">
        <v>6</v>
      </c>
    </row>
    <row r="6" spans="2:25">
      <c r="B6" t="s">
        <v>93</v>
      </c>
      <c r="C6">
        <v>2</v>
      </c>
      <c r="G6">
        <v>1</v>
      </c>
      <c r="H6">
        <v>3</v>
      </c>
      <c r="M6">
        <v>6</v>
      </c>
      <c r="O6" s="1" t="s">
        <v>613</v>
      </c>
      <c r="P6" s="1"/>
      <c r="Q6" s="1"/>
      <c r="R6" s="1"/>
      <c r="S6" s="1"/>
      <c r="T6" s="1"/>
      <c r="U6" s="4">
        <v>1</v>
      </c>
      <c r="V6" s="4">
        <v>1</v>
      </c>
      <c r="W6" s="1">
        <v>2</v>
      </c>
    </row>
    <row r="7" spans="2:25">
      <c r="B7" t="s">
        <v>40</v>
      </c>
      <c r="D7">
        <v>3</v>
      </c>
      <c r="E7">
        <v>2</v>
      </c>
      <c r="G7">
        <v>4</v>
      </c>
      <c r="H7">
        <v>2</v>
      </c>
      <c r="I7">
        <v>1</v>
      </c>
      <c r="J7">
        <v>1</v>
      </c>
      <c r="K7">
        <v>4</v>
      </c>
      <c r="L7">
        <v>1</v>
      </c>
      <c r="M7">
        <v>18</v>
      </c>
      <c r="O7" s="1" t="s">
        <v>614</v>
      </c>
      <c r="P7" s="1"/>
      <c r="Q7" s="4">
        <v>1</v>
      </c>
      <c r="R7" s="4">
        <v>1</v>
      </c>
      <c r="S7" s="4">
        <v>1</v>
      </c>
      <c r="T7" s="4">
        <v>1</v>
      </c>
      <c r="U7" s="1"/>
      <c r="V7" s="1"/>
      <c r="W7" s="1">
        <v>4</v>
      </c>
    </row>
    <row r="8" spans="2:25">
      <c r="B8" t="s">
        <v>83</v>
      </c>
      <c r="D8">
        <v>1</v>
      </c>
      <c r="E8">
        <v>1</v>
      </c>
      <c r="I8">
        <v>1</v>
      </c>
      <c r="J8">
        <v>1</v>
      </c>
      <c r="K8">
        <v>1</v>
      </c>
      <c r="M8">
        <v>5</v>
      </c>
      <c r="O8" s="1" t="s">
        <v>615</v>
      </c>
      <c r="P8" s="4">
        <v>1</v>
      </c>
      <c r="Q8" s="1"/>
      <c r="R8" s="1"/>
      <c r="S8" s="1"/>
      <c r="T8" s="4">
        <v>1</v>
      </c>
      <c r="U8" s="1"/>
      <c r="V8" s="1"/>
      <c r="W8" s="1">
        <v>2</v>
      </c>
    </row>
    <row r="9" spans="2:25">
      <c r="B9" t="s">
        <v>85</v>
      </c>
      <c r="D9">
        <v>1</v>
      </c>
      <c r="F9">
        <v>1</v>
      </c>
      <c r="I9">
        <v>1</v>
      </c>
      <c r="M9">
        <v>3</v>
      </c>
      <c r="O9" s="1" t="s">
        <v>616</v>
      </c>
      <c r="P9" s="1">
        <v>2</v>
      </c>
      <c r="Q9" s="1">
        <v>2</v>
      </c>
      <c r="R9" s="1">
        <v>2</v>
      </c>
      <c r="S9" s="1">
        <v>2</v>
      </c>
      <c r="T9" s="1">
        <v>2</v>
      </c>
      <c r="U9" s="1">
        <v>2</v>
      </c>
      <c r="V9" s="1">
        <v>2</v>
      </c>
      <c r="W9" s="1">
        <v>14</v>
      </c>
      <c r="X9">
        <v>60</v>
      </c>
      <c r="Y9">
        <f>X9/9</f>
        <v>6.666666666666667</v>
      </c>
    </row>
    <row r="10" spans="2:25">
      <c r="B10" t="s">
        <v>102</v>
      </c>
      <c r="D10">
        <v>2</v>
      </c>
      <c r="G10">
        <v>1</v>
      </c>
      <c r="K10">
        <v>1</v>
      </c>
      <c r="M10">
        <v>4</v>
      </c>
    </row>
    <row r="11" spans="2:25">
      <c r="B11" t="s">
        <v>108</v>
      </c>
      <c r="F11">
        <v>1</v>
      </c>
      <c r="M11">
        <v>1</v>
      </c>
      <c r="O11" s="153" t="s">
        <v>600</v>
      </c>
      <c r="P11" s="152" t="s">
        <v>617</v>
      </c>
      <c r="Q11" s="152"/>
      <c r="R11" s="152"/>
      <c r="S11" s="152"/>
      <c r="T11" s="152"/>
      <c r="U11" s="152"/>
      <c r="V11" s="152"/>
    </row>
    <row r="12" spans="2:25">
      <c r="B12" t="s">
        <v>50</v>
      </c>
      <c r="D12">
        <v>1</v>
      </c>
      <c r="M12">
        <v>1</v>
      </c>
      <c r="O12" s="153"/>
      <c r="P12" s="1" t="s">
        <v>603</v>
      </c>
      <c r="Q12" s="1" t="s">
        <v>604</v>
      </c>
      <c r="R12" s="1" t="s">
        <v>605</v>
      </c>
      <c r="S12" s="1" t="s">
        <v>606</v>
      </c>
      <c r="T12" s="1" t="s">
        <v>607</v>
      </c>
      <c r="U12" s="1" t="s">
        <v>608</v>
      </c>
      <c r="V12" s="1" t="s">
        <v>609</v>
      </c>
    </row>
    <row r="13" spans="2:25">
      <c r="B13" t="s">
        <v>57</v>
      </c>
      <c r="E13">
        <v>1</v>
      </c>
      <c r="M13">
        <v>1</v>
      </c>
      <c r="O13" s="61" t="s">
        <v>612</v>
      </c>
      <c r="P13" s="37">
        <f>2+6</f>
        <v>8</v>
      </c>
      <c r="Q13" s="37">
        <f>2+2</f>
        <v>4</v>
      </c>
      <c r="R13" s="37">
        <f>2+6</f>
        <v>8</v>
      </c>
      <c r="S13" s="37">
        <f>2+2</f>
        <v>4</v>
      </c>
      <c r="T13" s="21"/>
      <c r="U13" s="37">
        <f>2+8</f>
        <v>10</v>
      </c>
      <c r="V13" s="37">
        <v>0</v>
      </c>
    </row>
    <row r="14" spans="2:25">
      <c r="B14" t="s">
        <v>64</v>
      </c>
      <c r="E14">
        <v>1</v>
      </c>
      <c r="M14">
        <v>1</v>
      </c>
      <c r="O14" s="1" t="s">
        <v>613</v>
      </c>
      <c r="P14" s="21"/>
      <c r="Q14" s="21"/>
      <c r="R14" s="21"/>
      <c r="S14" s="21"/>
      <c r="T14" s="21"/>
      <c r="U14" s="37">
        <v>8</v>
      </c>
      <c r="V14" s="37">
        <v>1</v>
      </c>
    </row>
    <row r="15" spans="2:25">
      <c r="B15" t="s">
        <v>506</v>
      </c>
      <c r="C15">
        <v>2</v>
      </c>
      <c r="D15">
        <v>8</v>
      </c>
      <c r="E15">
        <v>5</v>
      </c>
      <c r="F15">
        <v>2</v>
      </c>
      <c r="G15">
        <v>6</v>
      </c>
      <c r="H15">
        <v>5</v>
      </c>
      <c r="I15">
        <v>3</v>
      </c>
      <c r="J15">
        <v>2</v>
      </c>
      <c r="K15">
        <v>7</v>
      </c>
      <c r="L15">
        <v>1</v>
      </c>
      <c r="M15">
        <v>41</v>
      </c>
      <c r="O15" s="1" t="s">
        <v>614</v>
      </c>
      <c r="P15" s="21"/>
      <c r="Q15" s="37">
        <v>4</v>
      </c>
      <c r="R15" s="37">
        <v>6</v>
      </c>
      <c r="S15" s="37">
        <v>4</v>
      </c>
      <c r="T15" s="37">
        <v>8</v>
      </c>
      <c r="U15" s="21"/>
      <c r="V15" s="21"/>
    </row>
    <row r="16" spans="2:25">
      <c r="O16" s="1" t="s">
        <v>615</v>
      </c>
      <c r="P16" s="37">
        <v>6</v>
      </c>
      <c r="Q16" s="21"/>
      <c r="R16" s="21"/>
      <c r="S16" s="21"/>
      <c r="T16" s="37">
        <v>6</v>
      </c>
      <c r="U16" s="21"/>
      <c r="V16" s="21"/>
    </row>
    <row r="17" spans="15:22">
      <c r="O17" t="s">
        <v>618</v>
      </c>
      <c r="P17" s="10">
        <v>14</v>
      </c>
      <c r="Q17" s="10">
        <v>8</v>
      </c>
      <c r="R17" s="10">
        <v>14</v>
      </c>
      <c r="S17" s="10">
        <v>8</v>
      </c>
      <c r="T17" s="10">
        <v>14</v>
      </c>
      <c r="U17" s="10">
        <v>10</v>
      </c>
      <c r="V17" s="10">
        <v>1</v>
      </c>
    </row>
  </sheetData>
  <mergeCells count="4">
    <mergeCell ref="P3:V3"/>
    <mergeCell ref="O3:O4"/>
    <mergeCell ref="O11:O12"/>
    <mergeCell ref="P11:V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AEA99-A70F-4EEB-AC9B-6F1B4E51027C}">
  <dimension ref="B1:N56"/>
  <sheetViews>
    <sheetView topLeftCell="C9" workbookViewId="0">
      <selection activeCell="C9" sqref="C9"/>
    </sheetView>
  </sheetViews>
  <sheetFormatPr defaultRowHeight="15"/>
  <cols>
    <col min="2" max="3" width="21" bestFit="1" customWidth="1"/>
    <col min="4" max="4" width="10.140625" bestFit="1" customWidth="1"/>
    <col min="5" max="13" width="4.140625" bestFit="1" customWidth="1"/>
    <col min="14" max="14" width="11.140625" bestFit="1" customWidth="1"/>
    <col min="15" max="15" width="14" bestFit="1" customWidth="1"/>
    <col min="16" max="16" width="21.42578125" bestFit="1" customWidth="1"/>
    <col min="17" max="17" width="14" bestFit="1" customWidth="1"/>
    <col min="18" max="18" width="21.42578125" bestFit="1" customWidth="1"/>
    <col min="19" max="19" width="14" bestFit="1" customWidth="1"/>
    <col min="20" max="20" width="21.42578125" bestFit="1" customWidth="1"/>
    <col min="21" max="21" width="14" bestFit="1" customWidth="1"/>
    <col min="22" max="22" width="21.42578125" bestFit="1" customWidth="1"/>
    <col min="23" max="23" width="18.7109375" bestFit="1" customWidth="1"/>
    <col min="24" max="24" width="26.28515625" bestFit="1" customWidth="1"/>
  </cols>
  <sheetData>
    <row r="1" spans="2:14">
      <c r="B1" s="55" t="s">
        <v>7</v>
      </c>
      <c r="C1" t="s">
        <v>65</v>
      </c>
    </row>
    <row r="3" spans="2:14">
      <c r="B3" s="55" t="s">
        <v>524</v>
      </c>
      <c r="D3" s="55" t="s">
        <v>5</v>
      </c>
    </row>
    <row r="4" spans="2:14">
      <c r="B4" s="55" t="s">
        <v>14</v>
      </c>
      <c r="C4" s="55" t="s">
        <v>4</v>
      </c>
      <c r="D4" t="s">
        <v>34</v>
      </c>
      <c r="E4" t="s">
        <v>93</v>
      </c>
      <c r="F4" t="s">
        <v>40</v>
      </c>
      <c r="G4" t="s">
        <v>83</v>
      </c>
      <c r="H4" t="s">
        <v>85</v>
      </c>
      <c r="I4" t="s">
        <v>102</v>
      </c>
      <c r="J4" t="s">
        <v>108</v>
      </c>
      <c r="K4" t="s">
        <v>50</v>
      </c>
      <c r="L4" t="s">
        <v>57</v>
      </c>
      <c r="M4" t="s">
        <v>64</v>
      </c>
      <c r="N4" t="s">
        <v>506</v>
      </c>
    </row>
    <row r="5" spans="2:14">
      <c r="B5" t="s">
        <v>162</v>
      </c>
      <c r="C5" t="s">
        <v>278</v>
      </c>
      <c r="E5">
        <v>1</v>
      </c>
      <c r="N5">
        <v>1</v>
      </c>
    </row>
    <row r="6" spans="2:14">
      <c r="C6" t="s">
        <v>281</v>
      </c>
      <c r="E6">
        <v>1</v>
      </c>
      <c r="N6">
        <v>1</v>
      </c>
    </row>
    <row r="7" spans="2:14">
      <c r="B7" t="s">
        <v>619</v>
      </c>
      <c r="E7">
        <v>2</v>
      </c>
      <c r="N7">
        <v>2</v>
      </c>
    </row>
    <row r="8" spans="2:14">
      <c r="B8" t="s">
        <v>52</v>
      </c>
      <c r="C8" t="s">
        <v>213</v>
      </c>
      <c r="G8">
        <v>1</v>
      </c>
      <c r="N8">
        <v>1</v>
      </c>
    </row>
    <row r="9" spans="2:14">
      <c r="C9" t="s">
        <v>233</v>
      </c>
      <c r="F9">
        <v>1</v>
      </c>
      <c r="N9">
        <v>1</v>
      </c>
    </row>
    <row r="10" spans="2:14">
      <c r="C10" t="s">
        <v>49</v>
      </c>
      <c r="M10">
        <v>1</v>
      </c>
      <c r="N10">
        <v>1</v>
      </c>
    </row>
    <row r="11" spans="2:14">
      <c r="C11" t="s">
        <v>189</v>
      </c>
      <c r="L11">
        <v>1</v>
      </c>
      <c r="N11">
        <v>1</v>
      </c>
    </row>
    <row r="12" spans="2:14">
      <c r="C12" t="s">
        <v>238</v>
      </c>
      <c r="F12">
        <v>1</v>
      </c>
      <c r="N12">
        <v>1</v>
      </c>
    </row>
    <row r="13" spans="2:14">
      <c r="B13" t="s">
        <v>620</v>
      </c>
      <c r="F13">
        <v>2</v>
      </c>
      <c r="G13">
        <v>1</v>
      </c>
      <c r="L13">
        <v>1</v>
      </c>
      <c r="M13">
        <v>1</v>
      </c>
      <c r="N13">
        <v>5</v>
      </c>
    </row>
    <row r="14" spans="2:14">
      <c r="B14" t="s">
        <v>145</v>
      </c>
      <c r="C14" t="s">
        <v>205</v>
      </c>
      <c r="K14">
        <v>1</v>
      </c>
      <c r="N14">
        <v>1</v>
      </c>
    </row>
    <row r="15" spans="2:14">
      <c r="C15" t="s">
        <v>161</v>
      </c>
      <c r="I15">
        <v>1</v>
      </c>
      <c r="N15">
        <v>1</v>
      </c>
    </row>
    <row r="16" spans="2:14">
      <c r="C16" t="s">
        <v>275</v>
      </c>
      <c r="F16">
        <v>1</v>
      </c>
      <c r="N16">
        <v>1</v>
      </c>
    </row>
    <row r="17" spans="2:14">
      <c r="C17" t="s">
        <v>173</v>
      </c>
      <c r="I17">
        <v>1</v>
      </c>
      <c r="N17">
        <v>1</v>
      </c>
    </row>
    <row r="18" spans="2:14">
      <c r="C18" t="s">
        <v>250</v>
      </c>
      <c r="G18">
        <v>1</v>
      </c>
      <c r="N18">
        <v>1</v>
      </c>
    </row>
    <row r="19" spans="2:14">
      <c r="C19" t="s">
        <v>179</v>
      </c>
      <c r="H19">
        <v>1</v>
      </c>
      <c r="N19">
        <v>1</v>
      </c>
    </row>
    <row r="20" spans="2:14">
      <c r="C20" t="s">
        <v>621</v>
      </c>
      <c r="F20">
        <v>1</v>
      </c>
      <c r="N20">
        <v>1</v>
      </c>
    </row>
    <row r="21" spans="2:14">
      <c r="C21" t="s">
        <v>289</v>
      </c>
      <c r="F21">
        <v>1</v>
      </c>
      <c r="N21">
        <v>1</v>
      </c>
    </row>
    <row r="22" spans="2:14">
      <c r="B22" t="s">
        <v>622</v>
      </c>
      <c r="F22">
        <v>3</v>
      </c>
      <c r="G22">
        <v>1</v>
      </c>
      <c r="H22">
        <v>1</v>
      </c>
      <c r="I22">
        <v>2</v>
      </c>
      <c r="K22">
        <v>1</v>
      </c>
      <c r="N22">
        <v>8</v>
      </c>
    </row>
    <row r="23" spans="2:14">
      <c r="B23" t="s">
        <v>168</v>
      </c>
      <c r="C23" t="s">
        <v>167</v>
      </c>
      <c r="J23">
        <v>1</v>
      </c>
      <c r="N23">
        <v>1</v>
      </c>
    </row>
    <row r="24" spans="2:14">
      <c r="C24" t="s">
        <v>193</v>
      </c>
      <c r="H24">
        <v>1</v>
      </c>
      <c r="N24">
        <v>1</v>
      </c>
    </row>
    <row r="25" spans="2:14">
      <c r="B25" t="s">
        <v>623</v>
      </c>
      <c r="H25">
        <v>1</v>
      </c>
      <c r="J25">
        <v>1</v>
      </c>
      <c r="N25">
        <v>2</v>
      </c>
    </row>
    <row r="26" spans="2:14">
      <c r="B26" t="s">
        <v>100</v>
      </c>
      <c r="C26" t="s">
        <v>99</v>
      </c>
      <c r="H26">
        <v>1</v>
      </c>
      <c r="N26">
        <v>1</v>
      </c>
    </row>
    <row r="27" spans="2:14">
      <c r="C27" t="s">
        <v>229</v>
      </c>
      <c r="F27">
        <v>1</v>
      </c>
      <c r="N27">
        <v>1</v>
      </c>
    </row>
    <row r="28" spans="2:14">
      <c r="C28" t="s">
        <v>201</v>
      </c>
      <c r="G28">
        <v>1</v>
      </c>
      <c r="N28">
        <v>1</v>
      </c>
    </row>
    <row r="29" spans="2:14">
      <c r="B29" t="s">
        <v>624</v>
      </c>
      <c r="F29">
        <v>1</v>
      </c>
      <c r="G29">
        <v>1</v>
      </c>
      <c r="H29">
        <v>1</v>
      </c>
      <c r="N29">
        <v>3</v>
      </c>
    </row>
    <row r="30" spans="2:14">
      <c r="B30" t="s">
        <v>77</v>
      </c>
      <c r="C30" t="s">
        <v>127</v>
      </c>
      <c r="I30">
        <v>1</v>
      </c>
      <c r="N30">
        <v>1</v>
      </c>
    </row>
    <row r="31" spans="2:14">
      <c r="C31" t="s">
        <v>243</v>
      </c>
      <c r="F31">
        <v>1</v>
      </c>
      <c r="N31">
        <v>1</v>
      </c>
    </row>
    <row r="32" spans="2:14">
      <c r="C32" t="s">
        <v>226</v>
      </c>
      <c r="F32">
        <v>1</v>
      </c>
      <c r="N32">
        <v>1</v>
      </c>
    </row>
    <row r="33" spans="2:14">
      <c r="C33" t="s">
        <v>223</v>
      </c>
      <c r="E33">
        <v>1</v>
      </c>
      <c r="N33">
        <v>1</v>
      </c>
    </row>
    <row r="34" spans="2:14">
      <c r="C34" t="s">
        <v>273</v>
      </c>
      <c r="F34">
        <v>1</v>
      </c>
      <c r="N34">
        <v>1</v>
      </c>
    </row>
    <row r="35" spans="2:14">
      <c r="C35" t="s">
        <v>297</v>
      </c>
      <c r="F35">
        <v>1</v>
      </c>
      <c r="N35">
        <v>1</v>
      </c>
    </row>
    <row r="36" spans="2:14">
      <c r="B36" t="s">
        <v>625</v>
      </c>
      <c r="E36">
        <v>1</v>
      </c>
      <c r="F36">
        <v>4</v>
      </c>
      <c r="I36">
        <v>1</v>
      </c>
      <c r="N36">
        <v>6</v>
      </c>
    </row>
    <row r="37" spans="2:14">
      <c r="B37" t="s">
        <v>211</v>
      </c>
      <c r="C37" t="s">
        <v>221</v>
      </c>
      <c r="F37">
        <v>1</v>
      </c>
      <c r="N37">
        <v>1</v>
      </c>
    </row>
    <row r="38" spans="2:14">
      <c r="C38" t="s">
        <v>269</v>
      </c>
      <c r="E38">
        <v>1</v>
      </c>
      <c r="N38">
        <v>1</v>
      </c>
    </row>
    <row r="39" spans="2:14">
      <c r="C39" t="s">
        <v>219</v>
      </c>
      <c r="F39">
        <v>1</v>
      </c>
      <c r="N39">
        <v>1</v>
      </c>
    </row>
    <row r="40" spans="2:14">
      <c r="C40" t="s">
        <v>209</v>
      </c>
      <c r="E40">
        <v>1</v>
      </c>
      <c r="N40">
        <v>1</v>
      </c>
    </row>
    <row r="41" spans="2:14">
      <c r="C41" t="s">
        <v>263</v>
      </c>
      <c r="E41">
        <v>1</v>
      </c>
      <c r="N41">
        <v>1</v>
      </c>
    </row>
    <row r="42" spans="2:14">
      <c r="B42" t="s">
        <v>626</v>
      </c>
      <c r="E42">
        <v>3</v>
      </c>
      <c r="F42">
        <v>2</v>
      </c>
      <c r="N42">
        <v>5</v>
      </c>
    </row>
    <row r="43" spans="2:14">
      <c r="B43" t="s">
        <v>602</v>
      </c>
      <c r="C43" t="s">
        <v>215</v>
      </c>
      <c r="F43">
        <v>1</v>
      </c>
      <c r="N43">
        <v>1</v>
      </c>
    </row>
    <row r="44" spans="2:14">
      <c r="C44" t="s">
        <v>147</v>
      </c>
      <c r="G44">
        <v>1</v>
      </c>
      <c r="N44">
        <v>1</v>
      </c>
    </row>
    <row r="45" spans="2:14">
      <c r="B45" t="s">
        <v>627</v>
      </c>
      <c r="F45">
        <v>1</v>
      </c>
      <c r="G45">
        <v>1</v>
      </c>
      <c r="N45">
        <v>2</v>
      </c>
    </row>
    <row r="46" spans="2:14">
      <c r="B46" t="s">
        <v>151</v>
      </c>
      <c r="C46" t="s">
        <v>246</v>
      </c>
      <c r="F46">
        <v>1</v>
      </c>
      <c r="N46">
        <v>1</v>
      </c>
    </row>
    <row r="47" spans="2:14">
      <c r="C47" t="s">
        <v>157</v>
      </c>
      <c r="G47">
        <v>1</v>
      </c>
      <c r="N47">
        <v>1</v>
      </c>
    </row>
    <row r="48" spans="2:14">
      <c r="C48" t="s">
        <v>259</v>
      </c>
      <c r="F48">
        <v>1</v>
      </c>
      <c r="N48">
        <v>1</v>
      </c>
    </row>
    <row r="49" spans="2:14">
      <c r="C49" t="s">
        <v>261</v>
      </c>
      <c r="D49">
        <v>1</v>
      </c>
      <c r="N49">
        <v>1</v>
      </c>
    </row>
    <row r="50" spans="2:14">
      <c r="C50" t="s">
        <v>181</v>
      </c>
      <c r="I50">
        <v>1</v>
      </c>
      <c r="N50">
        <v>1</v>
      </c>
    </row>
    <row r="51" spans="2:14">
      <c r="C51" t="s">
        <v>255</v>
      </c>
      <c r="F51">
        <v>1</v>
      </c>
      <c r="N51">
        <v>1</v>
      </c>
    </row>
    <row r="52" spans="2:14">
      <c r="C52" t="s">
        <v>283</v>
      </c>
      <c r="F52">
        <v>1</v>
      </c>
      <c r="N52">
        <v>1</v>
      </c>
    </row>
    <row r="53" spans="2:14">
      <c r="B53" t="s">
        <v>628</v>
      </c>
      <c r="D53">
        <v>1</v>
      </c>
      <c r="F53">
        <v>4</v>
      </c>
      <c r="G53">
        <v>1</v>
      </c>
      <c r="I53">
        <v>1</v>
      </c>
      <c r="N53">
        <v>7</v>
      </c>
    </row>
    <row r="54" spans="2:14">
      <c r="B54" t="s">
        <v>292</v>
      </c>
      <c r="C54" t="s">
        <v>291</v>
      </c>
      <c r="F54">
        <v>1</v>
      </c>
      <c r="N54">
        <v>1</v>
      </c>
    </row>
    <row r="55" spans="2:14">
      <c r="B55" t="s">
        <v>629</v>
      </c>
      <c r="F55">
        <v>1</v>
      </c>
      <c r="N55">
        <v>1</v>
      </c>
    </row>
    <row r="56" spans="2:14">
      <c r="B56" t="s">
        <v>506</v>
      </c>
      <c r="D56">
        <v>1</v>
      </c>
      <c r="E56">
        <v>6</v>
      </c>
      <c r="F56">
        <v>18</v>
      </c>
      <c r="G56">
        <v>5</v>
      </c>
      <c r="H56">
        <v>3</v>
      </c>
      <c r="I56">
        <v>4</v>
      </c>
      <c r="J56">
        <v>1</v>
      </c>
      <c r="K56">
        <v>1</v>
      </c>
      <c r="L56">
        <v>1</v>
      </c>
      <c r="M56">
        <v>1</v>
      </c>
      <c r="N56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F652-50EC-49A8-9423-D14845C31AF3}">
  <dimension ref="A3:I237"/>
  <sheetViews>
    <sheetView workbookViewId="0">
      <selection activeCell="E167" sqref="E167"/>
    </sheetView>
  </sheetViews>
  <sheetFormatPr defaultRowHeight="15"/>
  <cols>
    <col min="1" max="1" width="21" bestFit="1" customWidth="1"/>
    <col min="2" max="2" width="14.85546875" bestFit="1" customWidth="1"/>
    <col min="3" max="3" width="19.28515625" bestFit="1" customWidth="1"/>
    <col min="4" max="4" width="19.140625" bestFit="1" customWidth="1"/>
    <col min="5" max="5" width="28.7109375" bestFit="1" customWidth="1"/>
    <col min="6" max="6" width="37.7109375" bestFit="1" customWidth="1"/>
    <col min="7" max="7" width="11.140625" bestFit="1" customWidth="1"/>
    <col min="8" max="8" width="15" bestFit="1" customWidth="1"/>
    <col min="9" max="9" width="19.140625" bestFit="1" customWidth="1"/>
    <col min="10" max="10" width="15" bestFit="1" customWidth="1"/>
    <col min="11" max="11" width="19.140625" bestFit="1" customWidth="1"/>
    <col min="12" max="12" width="19.7109375" bestFit="1" customWidth="1"/>
    <col min="13" max="13" width="24" bestFit="1" customWidth="1"/>
  </cols>
  <sheetData>
    <row r="3" spans="1:9">
      <c r="A3" s="55" t="s">
        <v>4</v>
      </c>
      <c r="B3" s="55" t="s">
        <v>8</v>
      </c>
      <c r="C3" t="s">
        <v>630</v>
      </c>
      <c r="D3" t="s">
        <v>525</v>
      </c>
      <c r="E3" t="s">
        <v>631</v>
      </c>
      <c r="F3" t="s">
        <v>632</v>
      </c>
    </row>
    <row r="4" spans="1:9">
      <c r="A4" t="s">
        <v>105</v>
      </c>
      <c r="B4" t="s">
        <v>109</v>
      </c>
      <c r="C4" s="93">
        <v>3600</v>
      </c>
      <c r="D4" s="93">
        <v>3600</v>
      </c>
      <c r="E4" s="93"/>
      <c r="F4" s="75"/>
      <c r="H4">
        <f>F4*1200</f>
        <v>0</v>
      </c>
      <c r="I4">
        <f>D4-H4</f>
        <v>3600</v>
      </c>
    </row>
    <row r="5" spans="1:9">
      <c r="B5" t="s">
        <v>41</v>
      </c>
      <c r="C5" s="93">
        <v>4800</v>
      </c>
      <c r="D5" s="93">
        <v>4800</v>
      </c>
      <c r="E5" s="93">
        <v>29</v>
      </c>
      <c r="F5" s="75">
        <v>3.6</v>
      </c>
      <c r="H5">
        <f t="shared" ref="H5:H68" si="0">F5*1200</f>
        <v>4320</v>
      </c>
      <c r="I5">
        <f t="shared" ref="I5:I68" si="1">D5-H5</f>
        <v>480</v>
      </c>
    </row>
    <row r="6" spans="1:9">
      <c r="B6" t="s">
        <v>84</v>
      </c>
      <c r="C6" s="93">
        <v>3600</v>
      </c>
      <c r="D6" s="93">
        <v>3600</v>
      </c>
      <c r="E6" s="93">
        <v>21</v>
      </c>
      <c r="F6" s="75">
        <v>2.5333333333333332</v>
      </c>
      <c r="H6">
        <f t="shared" si="0"/>
        <v>3040</v>
      </c>
      <c r="I6">
        <f t="shared" si="1"/>
        <v>560</v>
      </c>
    </row>
    <row r="7" spans="1:9">
      <c r="B7" t="s">
        <v>86</v>
      </c>
      <c r="C7" s="93">
        <v>4800</v>
      </c>
      <c r="D7" s="93">
        <v>4800</v>
      </c>
      <c r="E7" s="93">
        <v>33</v>
      </c>
      <c r="F7" s="75">
        <v>4.0666666666666664</v>
      </c>
      <c r="H7">
        <v>5400</v>
      </c>
      <c r="I7">
        <v>0</v>
      </c>
    </row>
    <row r="8" spans="1:9">
      <c r="B8" t="s">
        <v>103</v>
      </c>
      <c r="C8" s="93">
        <v>5400</v>
      </c>
      <c r="D8" s="93">
        <v>5400</v>
      </c>
      <c r="E8" s="93">
        <v>128</v>
      </c>
      <c r="F8" s="75">
        <v>15.966666666666667</v>
      </c>
    </row>
    <row r="9" spans="1:9">
      <c r="A9" t="s">
        <v>531</v>
      </c>
      <c r="C9" s="93">
        <v>22200</v>
      </c>
      <c r="D9" s="93">
        <v>22200</v>
      </c>
      <c r="E9" s="93">
        <v>211</v>
      </c>
      <c r="F9" s="75">
        <v>26.166666666666664</v>
      </c>
      <c r="H9">
        <f t="shared" si="0"/>
        <v>31399.999999999996</v>
      </c>
      <c r="I9">
        <f t="shared" si="1"/>
        <v>-9199.9999999999964</v>
      </c>
    </row>
    <row r="10" spans="1:9">
      <c r="A10" t="s">
        <v>147</v>
      </c>
      <c r="B10" t="s">
        <v>41</v>
      </c>
      <c r="C10" s="93">
        <v>6000</v>
      </c>
      <c r="D10" s="93">
        <v>7200</v>
      </c>
      <c r="E10" s="93">
        <v>59</v>
      </c>
      <c r="F10" s="75">
        <v>7.2666666666666666</v>
      </c>
      <c r="H10">
        <f t="shared" si="0"/>
        <v>8720</v>
      </c>
      <c r="I10">
        <f t="shared" si="1"/>
        <v>-1520</v>
      </c>
    </row>
    <row r="11" spans="1:9">
      <c r="B11" t="s">
        <v>84</v>
      </c>
      <c r="C11" s="93">
        <v>3600</v>
      </c>
      <c r="D11" s="93">
        <v>6300</v>
      </c>
      <c r="E11" s="93">
        <v>42</v>
      </c>
      <c r="F11" s="75">
        <v>5.1333333333333337</v>
      </c>
      <c r="H11">
        <f t="shared" si="0"/>
        <v>6160.0000000000009</v>
      </c>
      <c r="I11">
        <f t="shared" si="1"/>
        <v>139.99999999999909</v>
      </c>
    </row>
    <row r="12" spans="1:9">
      <c r="B12" t="s">
        <v>86</v>
      </c>
      <c r="C12" s="93">
        <v>3600</v>
      </c>
      <c r="D12" s="93">
        <v>3600</v>
      </c>
      <c r="E12" s="93"/>
      <c r="F12" s="75"/>
      <c r="H12">
        <f t="shared" si="0"/>
        <v>0</v>
      </c>
      <c r="I12">
        <f t="shared" si="1"/>
        <v>3600</v>
      </c>
    </row>
    <row r="13" spans="1:9">
      <c r="B13" t="s">
        <v>94</v>
      </c>
      <c r="C13" s="93">
        <v>4800</v>
      </c>
      <c r="D13" s="93">
        <v>4800</v>
      </c>
      <c r="E13" s="93">
        <v>30</v>
      </c>
      <c r="F13" s="75">
        <v>3.6666666666666665</v>
      </c>
      <c r="H13">
        <f t="shared" si="0"/>
        <v>4400</v>
      </c>
      <c r="I13">
        <f t="shared" si="1"/>
        <v>400</v>
      </c>
    </row>
    <row r="14" spans="1:9">
      <c r="A14" t="s">
        <v>532</v>
      </c>
      <c r="C14" s="93">
        <v>18000</v>
      </c>
      <c r="D14" s="93">
        <v>21900</v>
      </c>
      <c r="E14" s="93">
        <v>131</v>
      </c>
      <c r="F14" s="75">
        <v>16.066666666666666</v>
      </c>
      <c r="H14">
        <f t="shared" si="0"/>
        <v>19280</v>
      </c>
      <c r="I14">
        <f t="shared" si="1"/>
        <v>2620</v>
      </c>
    </row>
    <row r="15" spans="1:9">
      <c r="A15" t="s">
        <v>167</v>
      </c>
      <c r="B15" t="s">
        <v>109</v>
      </c>
      <c r="C15" s="93">
        <v>3600</v>
      </c>
      <c r="D15" s="93">
        <v>3600</v>
      </c>
      <c r="E15" s="93">
        <v>25</v>
      </c>
      <c r="F15" s="75">
        <v>3.0666666666666669</v>
      </c>
      <c r="H15">
        <f t="shared" si="0"/>
        <v>3680.0000000000005</v>
      </c>
      <c r="I15">
        <f t="shared" si="1"/>
        <v>-80.000000000000455</v>
      </c>
    </row>
    <row r="16" spans="1:9">
      <c r="B16" t="s">
        <v>41</v>
      </c>
      <c r="C16" s="93">
        <v>3600</v>
      </c>
      <c r="D16" s="93">
        <v>3600</v>
      </c>
      <c r="E16" s="93">
        <v>11</v>
      </c>
      <c r="F16" s="75">
        <v>1.3666666666666667</v>
      </c>
      <c r="H16">
        <f t="shared" si="0"/>
        <v>1640</v>
      </c>
      <c r="I16">
        <f t="shared" si="1"/>
        <v>1960</v>
      </c>
    </row>
    <row r="17" spans="1:9">
      <c r="B17" t="s">
        <v>84</v>
      </c>
      <c r="C17" s="93">
        <v>3600</v>
      </c>
      <c r="D17" s="93">
        <v>3600</v>
      </c>
      <c r="E17" s="93">
        <v>9</v>
      </c>
      <c r="F17" s="75">
        <v>1.1000000000000001</v>
      </c>
      <c r="H17">
        <f t="shared" si="0"/>
        <v>1320</v>
      </c>
      <c r="I17">
        <f t="shared" si="1"/>
        <v>2280</v>
      </c>
    </row>
    <row r="18" spans="1:9">
      <c r="B18" t="s">
        <v>86</v>
      </c>
      <c r="C18" s="93">
        <v>3600</v>
      </c>
      <c r="D18" s="93">
        <v>3600</v>
      </c>
      <c r="E18" s="93">
        <v>17</v>
      </c>
      <c r="F18" s="75">
        <v>2.1</v>
      </c>
      <c r="H18">
        <f t="shared" si="0"/>
        <v>2520</v>
      </c>
      <c r="I18">
        <f t="shared" si="1"/>
        <v>1080</v>
      </c>
    </row>
    <row r="19" spans="1:9">
      <c r="B19" t="s">
        <v>103</v>
      </c>
      <c r="C19" s="93">
        <v>3600</v>
      </c>
      <c r="D19" s="93">
        <v>3600</v>
      </c>
      <c r="E19" s="93">
        <v>14</v>
      </c>
      <c r="F19" s="75">
        <v>1.6333333333333333</v>
      </c>
      <c r="H19">
        <f t="shared" si="0"/>
        <v>1960</v>
      </c>
      <c r="I19">
        <f t="shared" si="1"/>
        <v>1640</v>
      </c>
    </row>
    <row r="20" spans="1:9">
      <c r="B20" t="s">
        <v>170</v>
      </c>
      <c r="C20" s="93">
        <v>3600</v>
      </c>
      <c r="D20" s="93">
        <v>3600</v>
      </c>
      <c r="E20" s="93"/>
      <c r="F20" s="75"/>
      <c r="H20">
        <f t="shared" si="0"/>
        <v>0</v>
      </c>
      <c r="I20">
        <f t="shared" si="1"/>
        <v>3600</v>
      </c>
    </row>
    <row r="21" spans="1:9">
      <c r="B21" t="s">
        <v>171</v>
      </c>
      <c r="C21" s="93">
        <v>3600</v>
      </c>
      <c r="D21" s="93"/>
      <c r="E21" s="93"/>
      <c r="F21" s="75"/>
      <c r="H21">
        <f t="shared" si="0"/>
        <v>0</v>
      </c>
      <c r="I21">
        <f t="shared" si="1"/>
        <v>0</v>
      </c>
    </row>
    <row r="22" spans="1:9">
      <c r="A22" t="s">
        <v>533</v>
      </c>
      <c r="C22" s="93">
        <v>25200</v>
      </c>
      <c r="D22" s="93">
        <v>21600</v>
      </c>
      <c r="E22" s="93">
        <v>76</v>
      </c>
      <c r="F22" s="75">
        <v>9.2666666666666657</v>
      </c>
      <c r="H22">
        <f t="shared" si="0"/>
        <v>11119.999999999998</v>
      </c>
      <c r="I22">
        <f t="shared" si="1"/>
        <v>10480.000000000002</v>
      </c>
    </row>
    <row r="23" spans="1:9">
      <c r="A23" t="s">
        <v>49</v>
      </c>
      <c r="B23" t="s">
        <v>60</v>
      </c>
      <c r="C23" s="93">
        <v>3600</v>
      </c>
      <c r="D23" s="93">
        <v>3600</v>
      </c>
      <c r="E23" s="93">
        <v>50</v>
      </c>
      <c r="F23" s="75">
        <v>6.166666666666667</v>
      </c>
      <c r="H23">
        <f t="shared" si="0"/>
        <v>7400</v>
      </c>
      <c r="I23">
        <f t="shared" si="1"/>
        <v>-3800</v>
      </c>
    </row>
    <row r="24" spans="1:9">
      <c r="B24" t="s">
        <v>51</v>
      </c>
      <c r="C24" s="93">
        <v>3600</v>
      </c>
      <c r="D24" s="93">
        <v>3600</v>
      </c>
      <c r="E24" s="93">
        <v>44</v>
      </c>
      <c r="F24" s="75">
        <v>5.4666666666666668</v>
      </c>
      <c r="H24">
        <f t="shared" si="0"/>
        <v>6560</v>
      </c>
      <c r="I24">
        <f t="shared" si="1"/>
        <v>-2960</v>
      </c>
    </row>
    <row r="25" spans="1:9">
      <c r="B25" t="s">
        <v>54</v>
      </c>
      <c r="C25" s="93">
        <v>3600</v>
      </c>
      <c r="D25" s="93">
        <v>3600</v>
      </c>
      <c r="E25" s="93">
        <v>24</v>
      </c>
      <c r="F25" s="75">
        <v>2.9</v>
      </c>
      <c r="H25">
        <f t="shared" si="0"/>
        <v>3480</v>
      </c>
      <c r="I25">
        <f t="shared" si="1"/>
        <v>120</v>
      </c>
    </row>
    <row r="26" spans="1:9">
      <c r="B26" t="s">
        <v>56</v>
      </c>
      <c r="C26" s="93">
        <v>3600</v>
      </c>
      <c r="D26" s="93">
        <v>3600</v>
      </c>
      <c r="E26" s="93">
        <v>40</v>
      </c>
      <c r="F26" s="75">
        <v>4.9000000000000004</v>
      </c>
      <c r="H26">
        <f t="shared" si="0"/>
        <v>5880</v>
      </c>
      <c r="I26">
        <f t="shared" si="1"/>
        <v>-2280</v>
      </c>
    </row>
    <row r="27" spans="1:9">
      <c r="B27" t="s">
        <v>58</v>
      </c>
      <c r="C27" s="93">
        <v>3600</v>
      </c>
      <c r="D27" s="93">
        <v>3600</v>
      </c>
      <c r="E27" s="93">
        <v>46</v>
      </c>
      <c r="F27" s="75">
        <v>5.6333333333333337</v>
      </c>
      <c r="H27">
        <f t="shared" si="0"/>
        <v>6760.0000000000009</v>
      </c>
      <c r="I27">
        <f t="shared" si="1"/>
        <v>-3160.0000000000009</v>
      </c>
    </row>
    <row r="28" spans="1:9">
      <c r="B28" t="s">
        <v>66</v>
      </c>
      <c r="C28" s="93">
        <v>3600</v>
      </c>
      <c r="D28" s="93">
        <v>3600</v>
      </c>
      <c r="E28" s="93">
        <v>83</v>
      </c>
      <c r="F28" s="75">
        <v>10.333333333333334</v>
      </c>
      <c r="H28">
        <f t="shared" si="0"/>
        <v>12400</v>
      </c>
      <c r="I28">
        <f t="shared" si="1"/>
        <v>-8800</v>
      </c>
    </row>
    <row r="29" spans="1:9">
      <c r="A29" t="s">
        <v>534</v>
      </c>
      <c r="C29" s="93">
        <v>21600</v>
      </c>
      <c r="D29" s="93">
        <v>21600</v>
      </c>
      <c r="E29" s="93">
        <v>287</v>
      </c>
      <c r="F29" s="75">
        <v>35.4</v>
      </c>
      <c r="H29">
        <f t="shared" si="0"/>
        <v>42480</v>
      </c>
      <c r="I29">
        <f t="shared" si="1"/>
        <v>-20880</v>
      </c>
    </row>
    <row r="30" spans="1:9">
      <c r="A30" t="s">
        <v>157</v>
      </c>
      <c r="B30" t="s">
        <v>41</v>
      </c>
      <c r="C30" s="93">
        <v>8400</v>
      </c>
      <c r="D30" s="93">
        <v>7800</v>
      </c>
      <c r="E30" s="93">
        <v>58</v>
      </c>
      <c r="F30" s="75">
        <v>7.1333333333333337</v>
      </c>
      <c r="H30">
        <f t="shared" si="0"/>
        <v>8560</v>
      </c>
      <c r="I30">
        <f t="shared" si="1"/>
        <v>-760</v>
      </c>
    </row>
    <row r="31" spans="1:9">
      <c r="B31" t="s">
        <v>84</v>
      </c>
      <c r="C31" s="93">
        <v>3600</v>
      </c>
      <c r="D31" s="93">
        <v>7200</v>
      </c>
      <c r="E31" s="93">
        <v>68</v>
      </c>
      <c r="F31" s="75">
        <v>8.4</v>
      </c>
      <c r="H31">
        <f t="shared" si="0"/>
        <v>10080</v>
      </c>
      <c r="I31">
        <f t="shared" si="1"/>
        <v>-2880</v>
      </c>
    </row>
    <row r="32" spans="1:9">
      <c r="B32" t="s">
        <v>86</v>
      </c>
      <c r="C32" s="93">
        <v>3600</v>
      </c>
      <c r="D32" s="93">
        <v>3600</v>
      </c>
      <c r="E32" s="93"/>
      <c r="F32" s="75"/>
      <c r="H32">
        <f t="shared" si="0"/>
        <v>0</v>
      </c>
      <c r="I32">
        <f t="shared" si="1"/>
        <v>3600</v>
      </c>
    </row>
    <row r="33" spans="1:9">
      <c r="A33" t="s">
        <v>535</v>
      </c>
      <c r="C33" s="93">
        <v>15600</v>
      </c>
      <c r="D33" s="93">
        <v>18600</v>
      </c>
      <c r="E33" s="93">
        <v>126</v>
      </c>
      <c r="F33" s="75">
        <v>15.533333333333335</v>
      </c>
      <c r="H33">
        <f t="shared" si="0"/>
        <v>18640.000000000004</v>
      </c>
      <c r="I33">
        <f t="shared" si="1"/>
        <v>-40.000000000003638</v>
      </c>
    </row>
    <row r="34" spans="1:9">
      <c r="A34" t="s">
        <v>189</v>
      </c>
      <c r="B34" t="s">
        <v>51</v>
      </c>
      <c r="C34" s="93">
        <v>3600</v>
      </c>
      <c r="D34" s="93">
        <v>3600</v>
      </c>
      <c r="E34" s="93">
        <v>10</v>
      </c>
      <c r="F34" s="75">
        <v>1.2</v>
      </c>
      <c r="H34">
        <f t="shared" si="0"/>
        <v>1440</v>
      </c>
      <c r="I34">
        <f t="shared" si="1"/>
        <v>2160</v>
      </c>
    </row>
    <row r="35" spans="1:9">
      <c r="B35" t="s">
        <v>54</v>
      </c>
      <c r="C35" s="93">
        <v>3600</v>
      </c>
      <c r="D35" s="93">
        <v>3000</v>
      </c>
      <c r="E35" s="93">
        <v>8</v>
      </c>
      <c r="F35" s="75">
        <v>0.93333333333333335</v>
      </c>
      <c r="H35">
        <f t="shared" si="0"/>
        <v>1120</v>
      </c>
      <c r="I35">
        <f t="shared" si="1"/>
        <v>1880</v>
      </c>
    </row>
    <row r="36" spans="1:9">
      <c r="B36" t="s">
        <v>56</v>
      </c>
      <c r="C36" s="93">
        <v>3600</v>
      </c>
      <c r="D36" s="93">
        <v>3000</v>
      </c>
      <c r="E36" s="93">
        <v>19</v>
      </c>
      <c r="F36" s="75">
        <v>2.2666666666666666</v>
      </c>
      <c r="H36">
        <f t="shared" si="0"/>
        <v>2720</v>
      </c>
      <c r="I36">
        <f t="shared" si="1"/>
        <v>280</v>
      </c>
    </row>
    <row r="37" spans="1:9">
      <c r="B37" t="s">
        <v>58</v>
      </c>
      <c r="C37" s="93">
        <v>3600</v>
      </c>
      <c r="D37" s="93">
        <v>3600</v>
      </c>
      <c r="E37" s="93">
        <v>33</v>
      </c>
      <c r="F37" s="75">
        <v>4.0666666666666664</v>
      </c>
      <c r="H37">
        <f t="shared" si="0"/>
        <v>4880</v>
      </c>
      <c r="I37">
        <f t="shared" si="1"/>
        <v>-1280</v>
      </c>
    </row>
    <row r="38" spans="1:9">
      <c r="B38" t="s">
        <v>170</v>
      </c>
      <c r="C38" s="93">
        <v>3600</v>
      </c>
      <c r="D38" s="93">
        <v>4200</v>
      </c>
      <c r="E38" s="93">
        <v>45</v>
      </c>
      <c r="F38" s="75">
        <v>5.6</v>
      </c>
      <c r="H38">
        <f t="shared" si="0"/>
        <v>6720</v>
      </c>
      <c r="I38">
        <f t="shared" si="1"/>
        <v>-2520</v>
      </c>
    </row>
    <row r="39" spans="1:9">
      <c r="A39" t="s">
        <v>536</v>
      </c>
      <c r="C39" s="93">
        <v>18000</v>
      </c>
      <c r="D39" s="93">
        <v>17400</v>
      </c>
      <c r="E39" s="93">
        <v>115</v>
      </c>
      <c r="F39" s="75">
        <v>14.066666666666666</v>
      </c>
      <c r="H39">
        <f t="shared" si="0"/>
        <v>16880</v>
      </c>
      <c r="I39">
        <f t="shared" si="1"/>
        <v>520</v>
      </c>
    </row>
    <row r="40" spans="1:9">
      <c r="A40" t="s">
        <v>127</v>
      </c>
      <c r="B40" t="s">
        <v>41</v>
      </c>
      <c r="C40" s="93">
        <v>4800</v>
      </c>
      <c r="D40" s="93">
        <v>4800</v>
      </c>
      <c r="E40" s="93">
        <v>37</v>
      </c>
      <c r="F40" s="75">
        <v>4.5333333333333332</v>
      </c>
      <c r="H40">
        <f t="shared" si="0"/>
        <v>5440</v>
      </c>
      <c r="I40">
        <f t="shared" si="1"/>
        <v>-640</v>
      </c>
    </row>
    <row r="41" spans="1:9">
      <c r="B41" t="s">
        <v>84</v>
      </c>
      <c r="C41" s="93">
        <v>2400</v>
      </c>
      <c r="D41" s="93">
        <v>2400</v>
      </c>
      <c r="E41" s="93">
        <v>19</v>
      </c>
      <c r="F41" s="75">
        <v>2.2999999999999998</v>
      </c>
      <c r="H41">
        <f t="shared" si="0"/>
        <v>2760</v>
      </c>
      <c r="I41">
        <f t="shared" si="1"/>
        <v>-360</v>
      </c>
    </row>
    <row r="42" spans="1:9">
      <c r="B42" t="s">
        <v>86</v>
      </c>
      <c r="C42" s="93">
        <v>3600</v>
      </c>
      <c r="D42" s="93">
        <v>3600</v>
      </c>
      <c r="E42" s="93">
        <v>24</v>
      </c>
      <c r="F42" s="75">
        <v>2.9666666666666668</v>
      </c>
      <c r="H42">
        <f t="shared" si="0"/>
        <v>3560</v>
      </c>
      <c r="I42">
        <f t="shared" si="1"/>
        <v>40</v>
      </c>
    </row>
    <row r="43" spans="1:9">
      <c r="B43" t="s">
        <v>103</v>
      </c>
      <c r="C43" s="93">
        <v>3600</v>
      </c>
      <c r="D43" s="93">
        <v>4800</v>
      </c>
      <c r="E43" s="93">
        <v>133</v>
      </c>
      <c r="F43" s="75">
        <v>16.600000000000001</v>
      </c>
      <c r="H43">
        <f t="shared" si="0"/>
        <v>19920</v>
      </c>
      <c r="I43">
        <f t="shared" si="1"/>
        <v>-15120</v>
      </c>
    </row>
    <row r="44" spans="1:9">
      <c r="A44" t="s">
        <v>537</v>
      </c>
      <c r="C44" s="93">
        <v>14400</v>
      </c>
      <c r="D44" s="93">
        <v>15600</v>
      </c>
      <c r="E44" s="93">
        <v>213</v>
      </c>
      <c r="F44" s="75">
        <v>26.400000000000002</v>
      </c>
      <c r="H44">
        <f t="shared" si="0"/>
        <v>31680.000000000004</v>
      </c>
      <c r="I44">
        <f t="shared" si="1"/>
        <v>-16080.000000000004</v>
      </c>
    </row>
    <row r="45" spans="1:9">
      <c r="A45" t="s">
        <v>238</v>
      </c>
      <c r="B45" t="s">
        <v>239</v>
      </c>
      <c r="C45" s="93">
        <v>3600</v>
      </c>
      <c r="D45" s="93">
        <v>15600</v>
      </c>
      <c r="E45" s="93">
        <v>113</v>
      </c>
      <c r="F45" s="75">
        <v>14.1</v>
      </c>
      <c r="H45">
        <f t="shared" si="0"/>
        <v>16920</v>
      </c>
      <c r="I45">
        <f t="shared" si="1"/>
        <v>-1320</v>
      </c>
    </row>
    <row r="46" spans="1:9">
      <c r="A46" t="s">
        <v>538</v>
      </c>
      <c r="C46" s="93">
        <v>3600</v>
      </c>
      <c r="D46" s="93">
        <v>15600</v>
      </c>
      <c r="E46" s="93">
        <v>113</v>
      </c>
      <c r="F46" s="75">
        <v>14.1</v>
      </c>
      <c r="H46">
        <f t="shared" si="0"/>
        <v>16920</v>
      </c>
      <c r="I46">
        <f t="shared" si="1"/>
        <v>-1320</v>
      </c>
    </row>
    <row r="47" spans="1:9">
      <c r="A47" t="s">
        <v>173</v>
      </c>
      <c r="B47" t="s">
        <v>174</v>
      </c>
      <c r="C47" s="93">
        <v>3600</v>
      </c>
      <c r="D47" s="93">
        <v>4600</v>
      </c>
      <c r="E47" s="93">
        <v>43</v>
      </c>
      <c r="F47" s="75">
        <v>5.3666666666666663</v>
      </c>
      <c r="H47">
        <f t="shared" si="0"/>
        <v>6439.9999999999991</v>
      </c>
      <c r="I47">
        <f t="shared" si="1"/>
        <v>-1839.9999999999991</v>
      </c>
    </row>
    <row r="48" spans="1:9">
      <c r="B48" t="s">
        <v>109</v>
      </c>
      <c r="C48" s="93">
        <v>3600</v>
      </c>
      <c r="D48" s="93"/>
      <c r="E48" s="93"/>
      <c r="F48" s="75">
        <v>7.666666666666667</v>
      </c>
      <c r="H48">
        <f t="shared" si="0"/>
        <v>9200</v>
      </c>
      <c r="I48">
        <f t="shared" si="1"/>
        <v>-9200</v>
      </c>
    </row>
    <row r="49" spans="1:9">
      <c r="B49" t="s">
        <v>41</v>
      </c>
      <c r="C49" s="93">
        <v>3600</v>
      </c>
      <c r="D49" s="93">
        <v>3600</v>
      </c>
      <c r="E49" s="93">
        <v>12</v>
      </c>
      <c r="F49" s="75">
        <v>1.4</v>
      </c>
      <c r="H49">
        <f t="shared" si="0"/>
        <v>1680</v>
      </c>
      <c r="I49">
        <f t="shared" si="1"/>
        <v>1920</v>
      </c>
    </row>
    <row r="50" spans="1:9">
      <c r="B50" t="s">
        <v>84</v>
      </c>
      <c r="C50" s="93">
        <v>3600</v>
      </c>
      <c r="D50" s="93">
        <v>3600</v>
      </c>
      <c r="E50" s="93">
        <v>12</v>
      </c>
      <c r="F50" s="75">
        <v>1.4666666666666666</v>
      </c>
      <c r="H50">
        <f t="shared" si="0"/>
        <v>1759.9999999999998</v>
      </c>
      <c r="I50">
        <f t="shared" si="1"/>
        <v>1840.0000000000002</v>
      </c>
    </row>
    <row r="51" spans="1:9">
      <c r="B51" t="s">
        <v>86</v>
      </c>
      <c r="C51" s="93">
        <v>3600</v>
      </c>
      <c r="D51" s="93">
        <v>3600</v>
      </c>
      <c r="E51" s="93">
        <v>18</v>
      </c>
      <c r="F51" s="75">
        <v>2.1666666666666665</v>
      </c>
      <c r="H51">
        <f t="shared" si="0"/>
        <v>2600</v>
      </c>
      <c r="I51">
        <f t="shared" si="1"/>
        <v>1000</v>
      </c>
    </row>
    <row r="52" spans="1:9">
      <c r="A52" t="s">
        <v>539</v>
      </c>
      <c r="C52" s="93">
        <v>18000</v>
      </c>
      <c r="D52" s="93">
        <v>15400</v>
      </c>
      <c r="E52" s="93">
        <v>85</v>
      </c>
      <c r="F52" s="75">
        <v>18.066666666666666</v>
      </c>
      <c r="H52">
        <f t="shared" si="0"/>
        <v>21680</v>
      </c>
      <c r="I52">
        <f t="shared" si="1"/>
        <v>-6280</v>
      </c>
    </row>
    <row r="53" spans="1:9">
      <c r="A53" t="s">
        <v>181</v>
      </c>
      <c r="B53" t="s">
        <v>174</v>
      </c>
      <c r="C53" s="93">
        <v>3600</v>
      </c>
      <c r="D53" s="93">
        <v>3600</v>
      </c>
      <c r="E53" s="93">
        <v>43</v>
      </c>
      <c r="F53" s="75">
        <v>5.3</v>
      </c>
      <c r="H53">
        <f t="shared" si="0"/>
        <v>6360</v>
      </c>
      <c r="I53">
        <f t="shared" si="1"/>
        <v>-2760</v>
      </c>
    </row>
    <row r="54" spans="1:9">
      <c r="B54" t="s">
        <v>41</v>
      </c>
      <c r="C54" s="93">
        <v>3600</v>
      </c>
      <c r="D54" s="93">
        <v>3600</v>
      </c>
      <c r="E54" s="93">
        <v>12</v>
      </c>
      <c r="F54" s="75">
        <v>1.4</v>
      </c>
      <c r="H54">
        <f t="shared" si="0"/>
        <v>1680</v>
      </c>
      <c r="I54">
        <f t="shared" si="1"/>
        <v>1920</v>
      </c>
    </row>
    <row r="55" spans="1:9">
      <c r="B55" t="s">
        <v>84</v>
      </c>
      <c r="C55" s="93">
        <v>3600</v>
      </c>
      <c r="D55" s="93">
        <v>3600</v>
      </c>
      <c r="E55" s="93">
        <v>12</v>
      </c>
      <c r="F55" s="75">
        <v>1.4666666666666666</v>
      </c>
      <c r="H55">
        <f t="shared" si="0"/>
        <v>1759.9999999999998</v>
      </c>
      <c r="I55">
        <f t="shared" si="1"/>
        <v>1840.0000000000002</v>
      </c>
    </row>
    <row r="56" spans="1:9">
      <c r="B56" t="s">
        <v>86</v>
      </c>
      <c r="C56" s="93">
        <v>3600</v>
      </c>
      <c r="D56" s="93">
        <v>3600</v>
      </c>
      <c r="E56" s="93">
        <v>19</v>
      </c>
      <c r="F56" s="75">
        <v>2.3333333333333335</v>
      </c>
      <c r="H56">
        <f t="shared" si="0"/>
        <v>2800</v>
      </c>
      <c r="I56">
        <f t="shared" si="1"/>
        <v>800</v>
      </c>
    </row>
    <row r="57" spans="1:9">
      <c r="B57" t="s">
        <v>182</v>
      </c>
      <c r="C57" s="93">
        <v>3600</v>
      </c>
      <c r="D57" s="93"/>
      <c r="E57" s="93"/>
      <c r="F57" s="75"/>
      <c r="H57">
        <f t="shared" si="0"/>
        <v>0</v>
      </c>
      <c r="I57">
        <f t="shared" si="1"/>
        <v>0</v>
      </c>
    </row>
    <row r="58" spans="1:9">
      <c r="A58" t="s">
        <v>540</v>
      </c>
      <c r="C58" s="93">
        <v>18000</v>
      </c>
      <c r="D58" s="93">
        <v>14400</v>
      </c>
      <c r="E58" s="93">
        <v>86</v>
      </c>
      <c r="F58" s="75">
        <v>10.5</v>
      </c>
      <c r="H58">
        <f t="shared" si="0"/>
        <v>12600</v>
      </c>
      <c r="I58">
        <f t="shared" si="1"/>
        <v>1800</v>
      </c>
    </row>
    <row r="59" spans="1:9">
      <c r="A59" t="s">
        <v>99</v>
      </c>
      <c r="B59" t="s">
        <v>41</v>
      </c>
      <c r="C59" s="93">
        <v>3600</v>
      </c>
      <c r="D59" s="93">
        <v>3600</v>
      </c>
      <c r="E59" s="93">
        <v>59</v>
      </c>
      <c r="F59" s="75">
        <v>7.3666666666666663</v>
      </c>
      <c r="H59">
        <f t="shared" si="0"/>
        <v>8840</v>
      </c>
      <c r="I59">
        <f t="shared" si="1"/>
        <v>-5240</v>
      </c>
    </row>
    <row r="60" spans="1:9">
      <c r="B60" t="s">
        <v>84</v>
      </c>
      <c r="C60" s="93">
        <v>3600</v>
      </c>
      <c r="D60" s="93">
        <v>3600</v>
      </c>
      <c r="E60" s="93">
        <v>38</v>
      </c>
      <c r="F60" s="75">
        <v>4.7</v>
      </c>
      <c r="H60">
        <f t="shared" si="0"/>
        <v>5640</v>
      </c>
      <c r="I60">
        <f t="shared" si="1"/>
        <v>-2040</v>
      </c>
    </row>
    <row r="61" spans="1:9">
      <c r="B61" t="s">
        <v>86</v>
      </c>
      <c r="C61" s="93">
        <v>3600</v>
      </c>
      <c r="D61" s="93">
        <v>3600</v>
      </c>
      <c r="E61" s="93">
        <v>60</v>
      </c>
      <c r="F61" s="75">
        <v>7.4333333333333336</v>
      </c>
      <c r="H61">
        <f t="shared" si="0"/>
        <v>8920</v>
      </c>
      <c r="I61">
        <f t="shared" si="1"/>
        <v>-5320</v>
      </c>
    </row>
    <row r="62" spans="1:9">
      <c r="B62" t="s">
        <v>103</v>
      </c>
      <c r="C62" s="93">
        <v>3600</v>
      </c>
      <c r="D62" s="93"/>
      <c r="E62" s="93"/>
      <c r="F62" s="75"/>
      <c r="H62">
        <f t="shared" si="0"/>
        <v>0</v>
      </c>
      <c r="I62">
        <f t="shared" si="1"/>
        <v>0</v>
      </c>
    </row>
    <row r="63" spans="1:9">
      <c r="B63" t="s">
        <v>94</v>
      </c>
      <c r="C63" s="93">
        <v>3600</v>
      </c>
      <c r="D63" s="93">
        <v>3600</v>
      </c>
      <c r="E63" s="93">
        <v>28</v>
      </c>
      <c r="F63" s="75">
        <v>3.4666666666666668</v>
      </c>
      <c r="H63">
        <f t="shared" si="0"/>
        <v>4160</v>
      </c>
      <c r="I63">
        <f t="shared" si="1"/>
        <v>-560</v>
      </c>
    </row>
    <row r="64" spans="1:9">
      <c r="A64" t="s">
        <v>541</v>
      </c>
      <c r="C64" s="93">
        <v>18000</v>
      </c>
      <c r="D64" s="93">
        <v>14400</v>
      </c>
      <c r="E64" s="93">
        <v>185</v>
      </c>
      <c r="F64" s="75">
        <v>22.966666666666669</v>
      </c>
      <c r="H64">
        <f t="shared" si="0"/>
        <v>27560.000000000004</v>
      </c>
      <c r="I64">
        <f t="shared" si="1"/>
        <v>-13160.000000000004</v>
      </c>
    </row>
    <row r="65" spans="1:9">
      <c r="A65" t="s">
        <v>233</v>
      </c>
      <c r="B65" t="s">
        <v>217</v>
      </c>
      <c r="C65" s="93">
        <v>3600</v>
      </c>
      <c r="D65" s="93">
        <v>3600</v>
      </c>
      <c r="E65" s="93">
        <v>42</v>
      </c>
      <c r="F65" s="75">
        <v>5.2</v>
      </c>
      <c r="H65">
        <f t="shared" si="0"/>
        <v>6240</v>
      </c>
      <c r="I65">
        <f t="shared" si="1"/>
        <v>-2640</v>
      </c>
    </row>
    <row r="66" spans="1:9">
      <c r="B66" t="s">
        <v>203</v>
      </c>
      <c r="C66" s="93">
        <v>3600</v>
      </c>
      <c r="D66" s="93">
        <v>3600</v>
      </c>
      <c r="E66" s="93"/>
      <c r="F66" s="75"/>
      <c r="H66">
        <f t="shared" si="0"/>
        <v>0</v>
      </c>
      <c r="I66">
        <f t="shared" si="1"/>
        <v>3600</v>
      </c>
    </row>
    <row r="67" spans="1:9">
      <c r="B67" t="s">
        <v>216</v>
      </c>
      <c r="C67" s="93">
        <v>3600</v>
      </c>
      <c r="D67" s="93">
        <v>3600</v>
      </c>
      <c r="E67" s="93">
        <v>20</v>
      </c>
      <c r="F67" s="75">
        <v>2.4</v>
      </c>
      <c r="H67">
        <f t="shared" si="0"/>
        <v>2880</v>
      </c>
      <c r="I67">
        <f t="shared" si="1"/>
        <v>720</v>
      </c>
    </row>
    <row r="68" spans="1:9">
      <c r="B68" t="s">
        <v>235</v>
      </c>
      <c r="C68" s="93">
        <v>3600</v>
      </c>
      <c r="D68" s="93">
        <v>3600</v>
      </c>
      <c r="E68" s="93"/>
      <c r="F68" s="75"/>
      <c r="H68">
        <f t="shared" si="0"/>
        <v>0</v>
      </c>
      <c r="I68">
        <f t="shared" si="1"/>
        <v>3600</v>
      </c>
    </row>
    <row r="69" spans="1:9">
      <c r="A69" t="s">
        <v>542</v>
      </c>
      <c r="C69" s="93">
        <v>14400</v>
      </c>
      <c r="D69" s="93">
        <v>14400</v>
      </c>
      <c r="E69" s="93">
        <v>62</v>
      </c>
      <c r="F69" s="75">
        <v>7.6</v>
      </c>
      <c r="H69">
        <f t="shared" ref="H69:H103" si="2">F69*1200</f>
        <v>9120</v>
      </c>
      <c r="I69">
        <f t="shared" ref="I69:I103" si="3">D69-H69</f>
        <v>5280</v>
      </c>
    </row>
    <row r="70" spans="1:9">
      <c r="A70" t="s">
        <v>161</v>
      </c>
      <c r="B70" t="s">
        <v>163</v>
      </c>
      <c r="C70" s="93">
        <v>3600</v>
      </c>
      <c r="D70" s="93">
        <v>3600</v>
      </c>
      <c r="E70" s="93">
        <v>40</v>
      </c>
      <c r="F70" s="75">
        <v>4.9000000000000004</v>
      </c>
      <c r="H70">
        <f t="shared" si="2"/>
        <v>5880</v>
      </c>
      <c r="I70">
        <f t="shared" si="3"/>
        <v>-2280</v>
      </c>
    </row>
    <row r="71" spans="1:9">
      <c r="B71" t="s">
        <v>41</v>
      </c>
      <c r="C71" s="93">
        <v>3600</v>
      </c>
      <c r="D71" s="93">
        <v>3600</v>
      </c>
      <c r="E71" s="93">
        <v>12</v>
      </c>
      <c r="F71" s="75">
        <v>1.4666666666666666</v>
      </c>
      <c r="H71">
        <f t="shared" si="2"/>
        <v>1759.9999999999998</v>
      </c>
      <c r="I71">
        <f t="shared" si="3"/>
        <v>1840.0000000000002</v>
      </c>
    </row>
    <row r="72" spans="1:9">
      <c r="B72" t="s">
        <v>84</v>
      </c>
      <c r="C72" s="93">
        <v>3600</v>
      </c>
      <c r="D72" s="93">
        <v>3600</v>
      </c>
      <c r="E72" s="93">
        <v>12</v>
      </c>
      <c r="F72" s="75">
        <v>1.4666666666666666</v>
      </c>
      <c r="H72">
        <f t="shared" si="2"/>
        <v>1759.9999999999998</v>
      </c>
      <c r="I72">
        <f t="shared" si="3"/>
        <v>1840.0000000000002</v>
      </c>
    </row>
    <row r="73" spans="1:9">
      <c r="B73" t="s">
        <v>86</v>
      </c>
      <c r="C73" s="93">
        <v>3600</v>
      </c>
      <c r="D73" s="93">
        <v>3100</v>
      </c>
      <c r="E73" s="93">
        <v>22</v>
      </c>
      <c r="F73" s="75">
        <v>2.6333333333333333</v>
      </c>
      <c r="H73">
        <f t="shared" si="2"/>
        <v>3160</v>
      </c>
      <c r="I73">
        <f t="shared" si="3"/>
        <v>-60</v>
      </c>
    </row>
    <row r="74" spans="1:9">
      <c r="B74" t="s">
        <v>165</v>
      </c>
      <c r="C74" s="93">
        <v>3600</v>
      </c>
      <c r="D74" s="93"/>
      <c r="E74" s="93"/>
      <c r="F74" s="75"/>
      <c r="H74">
        <f t="shared" si="2"/>
        <v>0</v>
      </c>
      <c r="I74">
        <f t="shared" si="3"/>
        <v>0</v>
      </c>
    </row>
    <row r="75" spans="1:9">
      <c r="A75" t="s">
        <v>543</v>
      </c>
      <c r="C75" s="93">
        <v>18000</v>
      </c>
      <c r="D75" s="93">
        <v>13900</v>
      </c>
      <c r="E75" s="93">
        <v>86</v>
      </c>
      <c r="F75" s="75">
        <v>10.466666666666667</v>
      </c>
      <c r="H75">
        <f t="shared" si="2"/>
        <v>12560</v>
      </c>
      <c r="I75">
        <f t="shared" si="3"/>
        <v>1340</v>
      </c>
    </row>
    <row r="76" spans="1:9">
      <c r="A76" t="s">
        <v>221</v>
      </c>
      <c r="B76" t="s">
        <v>41</v>
      </c>
      <c r="C76" s="93">
        <v>3600</v>
      </c>
      <c r="D76" s="93">
        <v>8400</v>
      </c>
      <c r="E76" s="93">
        <v>87</v>
      </c>
      <c r="F76" s="75">
        <v>10.866666666666667</v>
      </c>
      <c r="H76">
        <f t="shared" si="2"/>
        <v>13040</v>
      </c>
      <c r="I76">
        <f t="shared" si="3"/>
        <v>-4640</v>
      </c>
    </row>
    <row r="77" spans="1:9">
      <c r="B77" t="s">
        <v>216</v>
      </c>
      <c r="C77" s="93">
        <v>3600</v>
      </c>
      <c r="D77" s="93">
        <v>4800</v>
      </c>
      <c r="E77" s="93">
        <v>37</v>
      </c>
      <c r="F77" s="75">
        <v>4.5333333333333332</v>
      </c>
      <c r="H77">
        <f t="shared" si="2"/>
        <v>5440</v>
      </c>
      <c r="I77">
        <f t="shared" si="3"/>
        <v>-640</v>
      </c>
    </row>
    <row r="78" spans="1:9">
      <c r="A78" t="s">
        <v>544</v>
      </c>
      <c r="C78" s="93">
        <v>7200</v>
      </c>
      <c r="D78" s="93">
        <v>13200</v>
      </c>
      <c r="E78" s="93">
        <v>124</v>
      </c>
      <c r="F78" s="75">
        <v>15.4</v>
      </c>
      <c r="H78">
        <f t="shared" si="2"/>
        <v>18480</v>
      </c>
      <c r="I78">
        <f t="shared" si="3"/>
        <v>-5280</v>
      </c>
    </row>
    <row r="79" spans="1:9">
      <c r="A79" t="s">
        <v>219</v>
      </c>
      <c r="B79" t="s">
        <v>217</v>
      </c>
      <c r="C79" s="93">
        <v>3600</v>
      </c>
      <c r="D79" s="93">
        <v>7200</v>
      </c>
      <c r="E79" s="93">
        <v>86</v>
      </c>
      <c r="F79" s="75">
        <v>10.633333333333333</v>
      </c>
      <c r="H79">
        <f t="shared" si="2"/>
        <v>12760</v>
      </c>
      <c r="I79">
        <f t="shared" si="3"/>
        <v>-5560</v>
      </c>
    </row>
    <row r="80" spans="1:9">
      <c r="B80" t="s">
        <v>216</v>
      </c>
      <c r="C80" s="93">
        <v>6000</v>
      </c>
      <c r="D80" s="93">
        <v>4800</v>
      </c>
      <c r="E80" s="93">
        <v>39</v>
      </c>
      <c r="F80" s="75">
        <v>4.8666666666666663</v>
      </c>
      <c r="H80">
        <f t="shared" si="2"/>
        <v>5839.9999999999991</v>
      </c>
      <c r="I80">
        <f t="shared" si="3"/>
        <v>-1039.9999999999991</v>
      </c>
    </row>
    <row r="81" spans="1:9">
      <c r="A81" t="s">
        <v>545</v>
      </c>
      <c r="C81" s="93">
        <v>9600</v>
      </c>
      <c r="D81" s="93">
        <v>12000</v>
      </c>
      <c r="E81" s="93">
        <v>125</v>
      </c>
      <c r="F81" s="75">
        <v>15.5</v>
      </c>
      <c r="H81">
        <f t="shared" si="2"/>
        <v>18600</v>
      </c>
      <c r="I81">
        <f t="shared" si="3"/>
        <v>-6600</v>
      </c>
    </row>
    <row r="82" spans="1:9">
      <c r="A82" t="s">
        <v>179</v>
      </c>
      <c r="B82" t="s">
        <v>163</v>
      </c>
      <c r="C82" s="93"/>
      <c r="D82" s="93"/>
      <c r="E82" s="93"/>
      <c r="F82" s="75"/>
      <c r="H82">
        <f t="shared" si="2"/>
        <v>0</v>
      </c>
      <c r="I82">
        <f t="shared" si="3"/>
        <v>0</v>
      </c>
    </row>
    <row r="83" spans="1:9">
      <c r="B83" t="s">
        <v>41</v>
      </c>
      <c r="C83" s="93">
        <v>3600</v>
      </c>
      <c r="D83" s="93">
        <v>3600</v>
      </c>
      <c r="E83" s="93">
        <v>12</v>
      </c>
      <c r="F83" s="75">
        <v>1.4</v>
      </c>
      <c r="H83">
        <f t="shared" si="2"/>
        <v>1680</v>
      </c>
      <c r="I83">
        <f t="shared" si="3"/>
        <v>1920</v>
      </c>
    </row>
    <row r="84" spans="1:9">
      <c r="B84" t="s">
        <v>84</v>
      </c>
      <c r="C84" s="93">
        <v>3600</v>
      </c>
      <c r="D84" s="93">
        <v>3600</v>
      </c>
      <c r="E84" s="93">
        <v>16</v>
      </c>
      <c r="F84" s="75">
        <v>2</v>
      </c>
      <c r="H84">
        <f t="shared" si="2"/>
        <v>2400</v>
      </c>
      <c r="I84">
        <f t="shared" si="3"/>
        <v>1200</v>
      </c>
    </row>
    <row r="85" spans="1:9">
      <c r="B85" t="s">
        <v>86</v>
      </c>
      <c r="C85" s="93">
        <v>3600</v>
      </c>
      <c r="D85" s="93">
        <v>3600</v>
      </c>
      <c r="E85" s="93">
        <v>58</v>
      </c>
      <c r="F85" s="75">
        <v>7.166666666666667</v>
      </c>
      <c r="H85">
        <f t="shared" si="2"/>
        <v>8600</v>
      </c>
      <c r="I85">
        <f t="shared" si="3"/>
        <v>-5000</v>
      </c>
    </row>
    <row r="86" spans="1:9">
      <c r="A86" t="s">
        <v>546</v>
      </c>
      <c r="C86" s="93">
        <v>10800</v>
      </c>
      <c r="D86" s="93">
        <v>10800</v>
      </c>
      <c r="E86" s="93">
        <v>86</v>
      </c>
      <c r="F86" s="75">
        <v>10.566666666666666</v>
      </c>
      <c r="H86">
        <f t="shared" si="2"/>
        <v>12680</v>
      </c>
      <c r="I86">
        <f t="shared" si="3"/>
        <v>-1880</v>
      </c>
    </row>
    <row r="87" spans="1:9">
      <c r="A87" t="s">
        <v>275</v>
      </c>
      <c r="B87" t="s">
        <v>217</v>
      </c>
      <c r="C87" s="93">
        <v>3600</v>
      </c>
      <c r="D87" s="93">
        <v>3600</v>
      </c>
      <c r="E87" s="93">
        <v>28</v>
      </c>
      <c r="F87" s="75">
        <v>3.5</v>
      </c>
      <c r="H87">
        <f t="shared" si="2"/>
        <v>4200</v>
      </c>
      <c r="I87">
        <f t="shared" si="3"/>
        <v>-600</v>
      </c>
    </row>
    <row r="88" spans="1:9">
      <c r="B88" t="s">
        <v>203</v>
      </c>
      <c r="C88" s="93">
        <v>3600</v>
      </c>
      <c r="D88" s="93">
        <v>3600</v>
      </c>
      <c r="E88" s="93"/>
      <c r="F88" s="75"/>
      <c r="H88">
        <f t="shared" si="2"/>
        <v>0</v>
      </c>
      <c r="I88">
        <f t="shared" si="3"/>
        <v>3600</v>
      </c>
    </row>
    <row r="89" spans="1:9">
      <c r="B89" t="s">
        <v>174</v>
      </c>
      <c r="C89" s="93">
        <v>3600</v>
      </c>
      <c r="D89" s="93">
        <v>1200</v>
      </c>
      <c r="E89" s="93"/>
      <c r="F89" s="75"/>
      <c r="H89">
        <f t="shared" si="2"/>
        <v>0</v>
      </c>
      <c r="I89">
        <f t="shared" si="3"/>
        <v>1200</v>
      </c>
    </row>
    <row r="90" spans="1:9">
      <c r="B90" t="s">
        <v>252</v>
      </c>
      <c r="C90" s="93">
        <v>3600</v>
      </c>
      <c r="D90" s="93">
        <v>2400</v>
      </c>
      <c r="E90" s="93"/>
      <c r="F90" s="75"/>
      <c r="H90">
        <f t="shared" si="2"/>
        <v>0</v>
      </c>
      <c r="I90">
        <f t="shared" si="3"/>
        <v>2400</v>
      </c>
    </row>
    <row r="91" spans="1:9">
      <c r="A91" t="s">
        <v>547</v>
      </c>
      <c r="C91" s="93">
        <v>14400</v>
      </c>
      <c r="D91" s="93">
        <v>10800</v>
      </c>
      <c r="E91" s="93">
        <v>28</v>
      </c>
      <c r="F91" s="75">
        <v>3.5</v>
      </c>
      <c r="H91">
        <f t="shared" si="2"/>
        <v>4200</v>
      </c>
      <c r="I91">
        <f t="shared" si="3"/>
        <v>6600</v>
      </c>
    </row>
    <row r="92" spans="1:9">
      <c r="A92" t="s">
        <v>229</v>
      </c>
      <c r="B92" t="s">
        <v>217</v>
      </c>
      <c r="C92" s="93">
        <v>3600</v>
      </c>
      <c r="D92" s="93">
        <v>7200</v>
      </c>
      <c r="E92" s="93">
        <v>43</v>
      </c>
      <c r="F92" s="75">
        <v>5.3</v>
      </c>
      <c r="H92">
        <f t="shared" si="2"/>
        <v>6360</v>
      </c>
      <c r="I92">
        <f t="shared" si="3"/>
        <v>840</v>
      </c>
    </row>
    <row r="93" spans="1:9">
      <c r="B93" t="s">
        <v>84</v>
      </c>
      <c r="C93" s="93">
        <v>3600</v>
      </c>
      <c r="D93" s="93">
        <v>3600</v>
      </c>
      <c r="E93" s="93"/>
      <c r="F93" s="75"/>
      <c r="H93">
        <f t="shared" si="2"/>
        <v>0</v>
      </c>
      <c r="I93">
        <f t="shared" si="3"/>
        <v>3600</v>
      </c>
    </row>
    <row r="94" spans="1:9">
      <c r="A94" t="s">
        <v>548</v>
      </c>
      <c r="C94" s="93">
        <v>7200</v>
      </c>
      <c r="D94" s="93">
        <v>10800</v>
      </c>
      <c r="E94" s="93">
        <v>43</v>
      </c>
      <c r="F94" s="75">
        <v>5.3</v>
      </c>
      <c r="H94">
        <f t="shared" si="2"/>
        <v>6360</v>
      </c>
      <c r="I94">
        <f t="shared" si="3"/>
        <v>4440</v>
      </c>
    </row>
    <row r="95" spans="1:9">
      <c r="A95" t="s">
        <v>71</v>
      </c>
      <c r="B95" t="s">
        <v>51</v>
      </c>
      <c r="C95" s="93">
        <v>3600</v>
      </c>
      <c r="D95" s="93">
        <v>3600</v>
      </c>
      <c r="E95" s="93">
        <v>51</v>
      </c>
      <c r="F95" s="75">
        <v>6.2666666666666666</v>
      </c>
      <c r="H95">
        <f t="shared" si="2"/>
        <v>7520</v>
      </c>
      <c r="I95">
        <f t="shared" si="3"/>
        <v>-3920</v>
      </c>
    </row>
    <row r="96" spans="1:9">
      <c r="B96" t="s">
        <v>54</v>
      </c>
      <c r="C96" s="93">
        <v>3600</v>
      </c>
      <c r="D96" s="93">
        <v>3600</v>
      </c>
      <c r="E96" s="93">
        <v>30</v>
      </c>
      <c r="F96" s="75">
        <v>3.6666666666666665</v>
      </c>
      <c r="H96">
        <f t="shared" si="2"/>
        <v>4400</v>
      </c>
      <c r="I96">
        <f t="shared" si="3"/>
        <v>-800</v>
      </c>
    </row>
    <row r="97" spans="1:9">
      <c r="B97" t="s">
        <v>56</v>
      </c>
      <c r="C97" s="93">
        <v>3600</v>
      </c>
      <c r="D97" s="93">
        <v>3600</v>
      </c>
      <c r="E97" s="93">
        <v>204</v>
      </c>
      <c r="F97" s="75">
        <v>25.4</v>
      </c>
      <c r="H97">
        <f t="shared" si="2"/>
        <v>30480</v>
      </c>
      <c r="I97">
        <f t="shared" si="3"/>
        <v>-26880</v>
      </c>
    </row>
    <row r="98" spans="1:9">
      <c r="A98" t="s">
        <v>549</v>
      </c>
      <c r="C98" s="93">
        <v>10800</v>
      </c>
      <c r="D98" s="93">
        <v>10800</v>
      </c>
      <c r="E98" s="93">
        <v>285</v>
      </c>
      <c r="F98" s="75">
        <v>35.333333333333329</v>
      </c>
      <c r="H98">
        <f t="shared" si="2"/>
        <v>42399.999999999993</v>
      </c>
      <c r="I98">
        <f t="shared" si="3"/>
        <v>-31599.999999999993</v>
      </c>
    </row>
    <row r="99" spans="1:9">
      <c r="A99" t="s">
        <v>291</v>
      </c>
      <c r="B99" t="s">
        <v>203</v>
      </c>
      <c r="C99" s="93">
        <v>3600</v>
      </c>
      <c r="D99" s="93">
        <v>3600</v>
      </c>
      <c r="E99" s="93"/>
      <c r="F99" s="75"/>
      <c r="H99">
        <f t="shared" si="2"/>
        <v>0</v>
      </c>
      <c r="I99">
        <f t="shared" si="3"/>
        <v>3600</v>
      </c>
    </row>
    <row r="100" spans="1:9">
      <c r="B100" t="s">
        <v>41</v>
      </c>
      <c r="C100" s="93">
        <v>3600</v>
      </c>
      <c r="D100" s="93">
        <v>3600</v>
      </c>
      <c r="E100" s="93">
        <v>17</v>
      </c>
      <c r="F100" s="75">
        <v>2.0666666666666669</v>
      </c>
      <c r="H100">
        <f t="shared" si="2"/>
        <v>2480.0000000000005</v>
      </c>
      <c r="I100">
        <f t="shared" si="3"/>
        <v>1119.9999999999995</v>
      </c>
    </row>
    <row r="101" spans="1:9">
      <c r="B101" t="s">
        <v>86</v>
      </c>
      <c r="C101" s="93">
        <v>3600</v>
      </c>
      <c r="D101" s="93">
        <v>3600</v>
      </c>
      <c r="E101" s="93"/>
      <c r="F101" s="75"/>
      <c r="H101">
        <f t="shared" si="2"/>
        <v>0</v>
      </c>
      <c r="I101">
        <f t="shared" si="3"/>
        <v>3600</v>
      </c>
    </row>
    <row r="102" spans="1:9">
      <c r="B102" t="s">
        <v>103</v>
      </c>
      <c r="C102" s="93">
        <v>3600</v>
      </c>
      <c r="D102" s="93"/>
      <c r="E102" s="93"/>
      <c r="F102" s="75"/>
      <c r="H102">
        <f t="shared" si="2"/>
        <v>0</v>
      </c>
      <c r="I102">
        <f t="shared" si="3"/>
        <v>0</v>
      </c>
    </row>
    <row r="103" spans="1:9">
      <c r="A103" t="s">
        <v>550</v>
      </c>
      <c r="C103" s="93">
        <v>14400</v>
      </c>
      <c r="D103" s="93">
        <v>10800</v>
      </c>
      <c r="E103" s="93">
        <v>17</v>
      </c>
      <c r="F103" s="75">
        <v>2.0666666666666669</v>
      </c>
      <c r="H103">
        <f t="shared" si="2"/>
        <v>2480.0000000000005</v>
      </c>
      <c r="I103">
        <f t="shared" si="3"/>
        <v>8320</v>
      </c>
    </row>
    <row r="104" spans="1:9">
      <c r="A104" t="s">
        <v>81</v>
      </c>
      <c r="B104" t="s">
        <v>41</v>
      </c>
      <c r="C104" s="93">
        <v>3600</v>
      </c>
      <c r="D104" s="93">
        <v>3600</v>
      </c>
      <c r="E104" s="93">
        <v>21</v>
      </c>
      <c r="F104" s="75">
        <v>2.5666666666666669</v>
      </c>
      <c r="H104">
        <f t="shared" ref="H104:H105" si="4">F104*1200</f>
        <v>3080.0000000000005</v>
      </c>
      <c r="I104">
        <f t="shared" ref="I104:I105" si="5">D104-H104</f>
        <v>519.99999999999955</v>
      </c>
    </row>
    <row r="105" spans="1:9">
      <c r="B105" t="s">
        <v>84</v>
      </c>
      <c r="C105" s="93">
        <v>3600</v>
      </c>
      <c r="D105" s="93">
        <v>3600</v>
      </c>
      <c r="E105" s="93">
        <v>28</v>
      </c>
      <c r="F105" s="75">
        <v>3.5</v>
      </c>
      <c r="H105">
        <f t="shared" si="4"/>
        <v>4200</v>
      </c>
      <c r="I105">
        <f t="shared" si="5"/>
        <v>-600</v>
      </c>
    </row>
    <row r="106" spans="1:9">
      <c r="B106" t="s">
        <v>86</v>
      </c>
      <c r="C106" s="93">
        <v>3600</v>
      </c>
      <c r="D106" s="93">
        <v>3600</v>
      </c>
      <c r="E106" s="93">
        <v>24</v>
      </c>
      <c r="F106" s="75">
        <v>3</v>
      </c>
    </row>
    <row r="107" spans="1:9">
      <c r="A107" t="s">
        <v>551</v>
      </c>
      <c r="C107" s="93">
        <v>10800</v>
      </c>
      <c r="D107" s="93">
        <v>10800</v>
      </c>
      <c r="E107" s="93">
        <v>73</v>
      </c>
      <c r="F107" s="75">
        <v>9.0666666666666664</v>
      </c>
    </row>
    <row r="108" spans="1:9">
      <c r="A108" t="s">
        <v>193</v>
      </c>
      <c r="B108" t="s">
        <v>41</v>
      </c>
      <c r="C108" s="93">
        <v>0</v>
      </c>
      <c r="D108" s="93">
        <v>0</v>
      </c>
      <c r="E108" s="93">
        <v>14</v>
      </c>
      <c r="F108" s="75">
        <v>1.6333333333333333</v>
      </c>
    </row>
    <row r="109" spans="1:9">
      <c r="B109" t="s">
        <v>84</v>
      </c>
      <c r="C109" s="93">
        <v>3600</v>
      </c>
      <c r="D109" s="93">
        <v>3600</v>
      </c>
      <c r="E109" s="93">
        <v>24</v>
      </c>
      <c r="F109" s="75">
        <v>2.9666666666666668</v>
      </c>
    </row>
    <row r="110" spans="1:9">
      <c r="B110" t="s">
        <v>86</v>
      </c>
      <c r="C110" s="93">
        <v>3600</v>
      </c>
      <c r="D110" s="93">
        <v>3600</v>
      </c>
      <c r="E110" s="93">
        <v>44</v>
      </c>
      <c r="F110" s="75">
        <v>5.4333333333333336</v>
      </c>
    </row>
    <row r="111" spans="1:9">
      <c r="B111" t="s">
        <v>103</v>
      </c>
      <c r="C111" s="93">
        <v>3600</v>
      </c>
      <c r="D111" s="93">
        <v>3600</v>
      </c>
      <c r="E111" s="93"/>
      <c r="F111" s="75"/>
    </row>
    <row r="112" spans="1:9">
      <c r="A112" t="s">
        <v>552</v>
      </c>
      <c r="C112" s="93">
        <v>10800</v>
      </c>
      <c r="D112" s="93">
        <v>10800</v>
      </c>
      <c r="E112" s="93">
        <v>82</v>
      </c>
      <c r="F112" s="75">
        <v>10.033333333333333</v>
      </c>
    </row>
    <row r="113" spans="1:6">
      <c r="A113" t="s">
        <v>89</v>
      </c>
      <c r="B113" t="s">
        <v>41</v>
      </c>
      <c r="C113" s="93">
        <v>3600</v>
      </c>
      <c r="D113" s="93">
        <v>3600</v>
      </c>
      <c r="E113" s="93">
        <v>32</v>
      </c>
      <c r="F113" s="75">
        <v>3.9333333333333331</v>
      </c>
    </row>
    <row r="114" spans="1:6">
      <c r="B114" t="s">
        <v>84</v>
      </c>
      <c r="C114" s="93">
        <v>3600</v>
      </c>
      <c r="D114" s="93">
        <v>3600</v>
      </c>
      <c r="E114" s="93">
        <v>19</v>
      </c>
      <c r="F114" s="75">
        <v>2.2999999999999998</v>
      </c>
    </row>
    <row r="115" spans="1:6">
      <c r="B115" t="s">
        <v>86</v>
      </c>
      <c r="C115" s="93">
        <v>3600</v>
      </c>
      <c r="D115" s="93">
        <v>3600</v>
      </c>
      <c r="E115" s="93">
        <v>39</v>
      </c>
      <c r="F115" s="75">
        <v>4.8666666666666663</v>
      </c>
    </row>
    <row r="116" spans="1:6">
      <c r="A116" t="s">
        <v>553</v>
      </c>
      <c r="C116" s="93">
        <v>10800</v>
      </c>
      <c r="D116" s="93">
        <v>10800</v>
      </c>
      <c r="E116" s="93">
        <v>90</v>
      </c>
      <c r="F116" s="75">
        <v>11.099999999999998</v>
      </c>
    </row>
    <row r="117" spans="1:6">
      <c r="A117" t="s">
        <v>269</v>
      </c>
      <c r="B117" t="s">
        <v>217</v>
      </c>
      <c r="C117" s="93">
        <v>3600</v>
      </c>
      <c r="D117" s="93">
        <v>4800</v>
      </c>
      <c r="E117" s="93"/>
      <c r="F117" s="75"/>
    </row>
    <row r="118" spans="1:6">
      <c r="B118" t="s">
        <v>216</v>
      </c>
      <c r="C118" s="93">
        <v>3600</v>
      </c>
      <c r="D118" s="93">
        <v>6000</v>
      </c>
      <c r="E118" s="93">
        <v>37</v>
      </c>
      <c r="F118" s="75">
        <v>4.5999999999999996</v>
      </c>
    </row>
    <row r="119" spans="1:6">
      <c r="A119" t="s">
        <v>554</v>
      </c>
      <c r="C119" s="93">
        <v>7200</v>
      </c>
      <c r="D119" s="93">
        <v>10800</v>
      </c>
      <c r="E119" s="93">
        <v>37</v>
      </c>
      <c r="F119" s="75">
        <v>4.5999999999999996</v>
      </c>
    </row>
    <row r="120" spans="1:6">
      <c r="A120" t="s">
        <v>92</v>
      </c>
      <c r="B120" t="s">
        <v>36</v>
      </c>
      <c r="C120" s="93">
        <v>3000</v>
      </c>
      <c r="D120" s="93">
        <v>3000</v>
      </c>
      <c r="E120" s="93">
        <v>23</v>
      </c>
      <c r="F120" s="75">
        <v>2.8666666666666667</v>
      </c>
    </row>
    <row r="121" spans="1:6">
      <c r="B121" t="s">
        <v>41</v>
      </c>
      <c r="C121" s="93">
        <v>3600</v>
      </c>
      <c r="D121" s="93">
        <v>3600</v>
      </c>
      <c r="E121" s="93">
        <v>102</v>
      </c>
      <c r="F121" s="75">
        <v>12.733333333333333</v>
      </c>
    </row>
    <row r="122" spans="1:6">
      <c r="B122" t="s">
        <v>94</v>
      </c>
      <c r="C122" s="93">
        <v>3000</v>
      </c>
      <c r="D122" s="93">
        <v>3000</v>
      </c>
      <c r="E122" s="93">
        <v>26</v>
      </c>
      <c r="F122" s="75">
        <v>3.1666666666666665</v>
      </c>
    </row>
    <row r="123" spans="1:6">
      <c r="A123" t="s">
        <v>555</v>
      </c>
      <c r="C123" s="93">
        <v>9600</v>
      </c>
      <c r="D123" s="93">
        <v>9600</v>
      </c>
      <c r="E123" s="93">
        <v>151</v>
      </c>
      <c r="F123" s="75">
        <v>18.766666666666666</v>
      </c>
    </row>
    <row r="124" spans="1:6">
      <c r="A124" t="s">
        <v>205</v>
      </c>
      <c r="B124" t="s">
        <v>51</v>
      </c>
      <c r="C124" s="93">
        <v>3600</v>
      </c>
      <c r="D124" s="93">
        <v>6000</v>
      </c>
      <c r="E124" s="93">
        <v>57</v>
      </c>
      <c r="F124" s="75">
        <v>7.0666666666666664</v>
      </c>
    </row>
    <row r="125" spans="1:6">
      <c r="B125" t="s">
        <v>54</v>
      </c>
      <c r="C125" s="93">
        <v>3600</v>
      </c>
      <c r="D125" s="93">
        <v>3600</v>
      </c>
      <c r="E125" s="93">
        <v>34</v>
      </c>
      <c r="F125" s="75">
        <v>4.2</v>
      </c>
    </row>
    <row r="126" spans="1:6">
      <c r="B126" t="s">
        <v>56</v>
      </c>
      <c r="C126" s="93">
        <v>3600</v>
      </c>
      <c r="D126" s="93"/>
      <c r="E126" s="93"/>
      <c r="F126" s="75"/>
    </row>
    <row r="127" spans="1:6">
      <c r="A127" t="s">
        <v>556</v>
      </c>
      <c r="C127" s="93">
        <v>10800</v>
      </c>
      <c r="D127" s="93">
        <v>9600</v>
      </c>
      <c r="E127" s="93">
        <v>91</v>
      </c>
      <c r="F127" s="75">
        <v>11.266666666666666</v>
      </c>
    </row>
    <row r="128" spans="1:6">
      <c r="A128" t="s">
        <v>136</v>
      </c>
      <c r="B128" t="s">
        <v>41</v>
      </c>
      <c r="C128" s="93">
        <v>4800</v>
      </c>
      <c r="D128" s="93">
        <v>4800</v>
      </c>
      <c r="E128" s="93">
        <v>37</v>
      </c>
      <c r="F128" s="75">
        <v>4.5333333333333332</v>
      </c>
    </row>
    <row r="129" spans="1:6">
      <c r="B129" t="s">
        <v>84</v>
      </c>
      <c r="C129" s="93">
        <v>3600</v>
      </c>
      <c r="D129" s="93">
        <v>4000</v>
      </c>
      <c r="E129" s="93">
        <v>0</v>
      </c>
      <c r="F129" s="75"/>
    </row>
    <row r="130" spans="1:6">
      <c r="A130" t="s">
        <v>557</v>
      </c>
      <c r="C130" s="93">
        <v>8400</v>
      </c>
      <c r="D130" s="93">
        <v>8800</v>
      </c>
      <c r="E130" s="93">
        <v>37</v>
      </c>
      <c r="F130" s="75">
        <v>4.5333333333333332</v>
      </c>
    </row>
    <row r="131" spans="1:6">
      <c r="A131" t="s">
        <v>215</v>
      </c>
      <c r="B131" t="s">
        <v>217</v>
      </c>
      <c r="C131" s="93">
        <v>3600</v>
      </c>
      <c r="D131" s="93">
        <v>4800</v>
      </c>
      <c r="E131" s="93">
        <v>87</v>
      </c>
      <c r="F131" s="75">
        <v>10.866666666666667</v>
      </c>
    </row>
    <row r="132" spans="1:6">
      <c r="B132" t="s">
        <v>216</v>
      </c>
      <c r="C132" s="93">
        <v>3600</v>
      </c>
      <c r="D132" s="93">
        <v>3600</v>
      </c>
      <c r="E132" s="93">
        <v>34</v>
      </c>
      <c r="F132" s="75">
        <v>4.2</v>
      </c>
    </row>
    <row r="133" spans="1:6">
      <c r="A133" t="s">
        <v>558</v>
      </c>
      <c r="C133" s="93">
        <v>7200</v>
      </c>
      <c r="D133" s="93">
        <v>8400</v>
      </c>
      <c r="E133" s="93">
        <v>121</v>
      </c>
      <c r="F133" s="75">
        <v>15.066666666666666</v>
      </c>
    </row>
    <row r="134" spans="1:6">
      <c r="A134" t="s">
        <v>246</v>
      </c>
      <c r="B134" t="s">
        <v>41</v>
      </c>
      <c r="C134" s="93">
        <v>3600</v>
      </c>
      <c r="D134" s="93">
        <v>7200</v>
      </c>
      <c r="E134" s="93">
        <v>48</v>
      </c>
      <c r="F134" s="75">
        <v>5.9666666666666668</v>
      </c>
    </row>
    <row r="135" spans="1:6">
      <c r="B135" t="s">
        <v>247</v>
      </c>
      <c r="C135" s="93">
        <v>3600</v>
      </c>
      <c r="D135" s="93">
        <v>1200</v>
      </c>
      <c r="E135" s="93"/>
      <c r="F135" s="75"/>
    </row>
    <row r="136" spans="1:6">
      <c r="A136" t="s">
        <v>559</v>
      </c>
      <c r="C136" s="93">
        <v>7200</v>
      </c>
      <c r="D136" s="93">
        <v>8400</v>
      </c>
      <c r="E136" s="93">
        <v>48</v>
      </c>
      <c r="F136" s="75">
        <v>5.9666666666666668</v>
      </c>
    </row>
    <row r="137" spans="1:6">
      <c r="A137" t="s">
        <v>255</v>
      </c>
      <c r="B137" t="s">
        <v>217</v>
      </c>
      <c r="C137" s="93">
        <v>3600</v>
      </c>
      <c r="D137" s="93">
        <v>8400</v>
      </c>
      <c r="E137" s="93">
        <v>79</v>
      </c>
      <c r="F137" s="75">
        <v>9.7666666666666675</v>
      </c>
    </row>
    <row r="138" spans="1:6">
      <c r="B138" t="s">
        <v>203</v>
      </c>
      <c r="C138" s="93"/>
      <c r="D138" s="93"/>
      <c r="E138" s="93"/>
      <c r="F138" s="75"/>
    </row>
    <row r="139" spans="1:6">
      <c r="A139" t="s">
        <v>560</v>
      </c>
      <c r="C139" s="93">
        <v>3600</v>
      </c>
      <c r="D139" s="93">
        <v>8400</v>
      </c>
      <c r="E139" s="93">
        <v>79</v>
      </c>
      <c r="F139" s="75">
        <v>9.7666666666666675</v>
      </c>
    </row>
    <row r="140" spans="1:6">
      <c r="A140" t="s">
        <v>226</v>
      </c>
      <c r="B140" t="s">
        <v>41</v>
      </c>
      <c r="C140" s="93">
        <v>3600</v>
      </c>
      <c r="D140" s="93">
        <v>4800</v>
      </c>
      <c r="E140" s="93">
        <v>90</v>
      </c>
      <c r="F140" s="75">
        <v>11.133333333333333</v>
      </c>
    </row>
    <row r="141" spans="1:6">
      <c r="B141" t="s">
        <v>216</v>
      </c>
      <c r="C141" s="93">
        <v>3600</v>
      </c>
      <c r="D141" s="93">
        <v>3600</v>
      </c>
      <c r="E141" s="93">
        <v>30</v>
      </c>
      <c r="F141" s="75">
        <v>3.7333333333333334</v>
      </c>
    </row>
    <row r="142" spans="1:6">
      <c r="A142" t="s">
        <v>561</v>
      </c>
      <c r="C142" s="93">
        <v>7200</v>
      </c>
      <c r="D142" s="93">
        <v>8400</v>
      </c>
      <c r="E142" s="93">
        <v>120</v>
      </c>
      <c r="F142" s="75">
        <v>14.866666666666667</v>
      </c>
    </row>
    <row r="143" spans="1:6">
      <c r="A143" t="s">
        <v>213</v>
      </c>
      <c r="B143" t="s">
        <v>41</v>
      </c>
      <c r="C143" s="93">
        <v>3600</v>
      </c>
      <c r="D143" s="93">
        <v>3600</v>
      </c>
      <c r="E143" s="93">
        <v>28</v>
      </c>
      <c r="F143" s="75">
        <v>3.4</v>
      </c>
    </row>
    <row r="144" spans="1:6">
      <c r="B144" t="s">
        <v>84</v>
      </c>
      <c r="C144" s="93">
        <v>3600</v>
      </c>
      <c r="D144" s="93">
        <v>4800</v>
      </c>
      <c r="E144" s="93">
        <v>99</v>
      </c>
      <c r="F144" s="75">
        <v>12.333333333333334</v>
      </c>
    </row>
    <row r="145" spans="1:6">
      <c r="A145" t="s">
        <v>562</v>
      </c>
      <c r="C145" s="93">
        <v>7200</v>
      </c>
      <c r="D145" s="93">
        <v>8400</v>
      </c>
      <c r="E145" s="93">
        <v>127</v>
      </c>
      <c r="F145" s="75">
        <v>15.733333333333334</v>
      </c>
    </row>
    <row r="146" spans="1:6">
      <c r="A146" t="s">
        <v>259</v>
      </c>
      <c r="B146" t="s">
        <v>217</v>
      </c>
      <c r="C146" s="93">
        <v>3600</v>
      </c>
      <c r="D146" s="93">
        <v>7200</v>
      </c>
      <c r="E146" s="93">
        <v>42</v>
      </c>
      <c r="F146" s="75">
        <v>5.1333333333333337</v>
      </c>
    </row>
    <row r="147" spans="1:6">
      <c r="B147" t="s">
        <v>203</v>
      </c>
      <c r="C147" s="93">
        <v>3600</v>
      </c>
      <c r="D147" s="93">
        <v>1200</v>
      </c>
      <c r="E147" s="93"/>
      <c r="F147" s="75"/>
    </row>
    <row r="148" spans="1:6">
      <c r="A148" t="s">
        <v>563</v>
      </c>
      <c r="C148" s="93">
        <v>7200</v>
      </c>
      <c r="D148" s="93">
        <v>8400</v>
      </c>
      <c r="E148" s="93">
        <v>42</v>
      </c>
      <c r="F148" s="75">
        <v>5.1333333333333337</v>
      </c>
    </row>
    <row r="149" spans="1:6">
      <c r="A149" t="s">
        <v>113</v>
      </c>
      <c r="B149" t="s">
        <v>41</v>
      </c>
      <c r="C149" s="93">
        <v>3600</v>
      </c>
      <c r="D149" s="93">
        <v>3600</v>
      </c>
      <c r="E149" s="93">
        <v>211</v>
      </c>
      <c r="F149" s="75">
        <v>26.333333333333332</v>
      </c>
    </row>
    <row r="150" spans="1:6">
      <c r="B150" t="s">
        <v>94</v>
      </c>
      <c r="C150" s="93">
        <v>3600</v>
      </c>
      <c r="D150" s="93">
        <v>3600</v>
      </c>
      <c r="E150" s="93">
        <v>13</v>
      </c>
      <c r="F150" s="75">
        <v>1.5666666666666667</v>
      </c>
    </row>
    <row r="151" spans="1:6">
      <c r="A151" t="s">
        <v>564</v>
      </c>
      <c r="C151" s="93">
        <v>7200</v>
      </c>
      <c r="D151" s="93">
        <v>7200</v>
      </c>
      <c r="E151" s="93">
        <v>224</v>
      </c>
      <c r="F151" s="75">
        <v>27.9</v>
      </c>
    </row>
    <row r="152" spans="1:6">
      <c r="A152" t="s">
        <v>250</v>
      </c>
      <c r="B152" t="s">
        <v>84</v>
      </c>
      <c r="C152" s="93">
        <v>3600</v>
      </c>
      <c r="D152" s="93">
        <v>3600</v>
      </c>
      <c r="E152" s="93">
        <v>34</v>
      </c>
      <c r="F152" s="75">
        <v>4.2</v>
      </c>
    </row>
    <row r="153" spans="1:6">
      <c r="B153" t="s">
        <v>252</v>
      </c>
      <c r="C153" s="93">
        <v>3600</v>
      </c>
      <c r="D153" s="93">
        <v>3600</v>
      </c>
      <c r="E153" s="93"/>
      <c r="F153" s="75"/>
    </row>
    <row r="154" spans="1:6">
      <c r="A154" t="s">
        <v>565</v>
      </c>
      <c r="C154" s="93">
        <v>7200</v>
      </c>
      <c r="D154" s="93">
        <v>7200</v>
      </c>
      <c r="E154" s="93">
        <v>34</v>
      </c>
      <c r="F154" s="75">
        <v>4.2</v>
      </c>
    </row>
    <row r="155" spans="1:6">
      <c r="A155" t="s">
        <v>74</v>
      </c>
      <c r="B155" t="s">
        <v>76</v>
      </c>
      <c r="C155" s="93">
        <v>3600</v>
      </c>
      <c r="D155" s="93">
        <v>3600</v>
      </c>
      <c r="E155" s="93">
        <v>26</v>
      </c>
      <c r="F155" s="75">
        <v>3.2</v>
      </c>
    </row>
    <row r="156" spans="1:6">
      <c r="B156" t="s">
        <v>79</v>
      </c>
      <c r="C156" s="93">
        <v>3600</v>
      </c>
      <c r="D156" s="93">
        <v>3600</v>
      </c>
      <c r="E156" s="93">
        <v>23</v>
      </c>
      <c r="F156" s="75">
        <v>2.8666666666666667</v>
      </c>
    </row>
    <row r="157" spans="1:6">
      <c r="A157" t="s">
        <v>566</v>
      </c>
      <c r="C157" s="93">
        <v>7200</v>
      </c>
      <c r="D157" s="93">
        <v>7200</v>
      </c>
      <c r="E157" s="93">
        <v>49</v>
      </c>
      <c r="F157" s="75">
        <v>6.0666666666666664</v>
      </c>
    </row>
    <row r="158" spans="1:6">
      <c r="A158" t="s">
        <v>122</v>
      </c>
      <c r="B158" t="s">
        <v>41</v>
      </c>
      <c r="C158" s="93">
        <v>3600</v>
      </c>
      <c r="D158" s="93">
        <v>0</v>
      </c>
      <c r="E158" s="93">
        <v>49</v>
      </c>
      <c r="F158" s="75">
        <v>6.0333333333333332</v>
      </c>
    </row>
    <row r="159" spans="1:6">
      <c r="B159" t="s">
        <v>84</v>
      </c>
      <c r="C159" s="93">
        <v>3600</v>
      </c>
      <c r="D159" s="93">
        <v>3600</v>
      </c>
      <c r="E159" s="93">
        <v>31</v>
      </c>
      <c r="F159" s="75">
        <v>3.8333333333333335</v>
      </c>
    </row>
    <row r="160" spans="1:6">
      <c r="B160" t="s">
        <v>86</v>
      </c>
      <c r="C160" s="93">
        <v>3600</v>
      </c>
      <c r="D160" s="93">
        <v>3600</v>
      </c>
      <c r="E160" s="93">
        <v>140</v>
      </c>
      <c r="F160" s="75">
        <v>17.433333333333334</v>
      </c>
    </row>
    <row r="161" spans="1:6">
      <c r="A161" t="s">
        <v>567</v>
      </c>
      <c r="C161" s="93">
        <v>10800</v>
      </c>
      <c r="D161" s="93">
        <v>7200</v>
      </c>
      <c r="E161" s="93">
        <v>220</v>
      </c>
      <c r="F161" s="75">
        <v>27.3</v>
      </c>
    </row>
    <row r="162" spans="1:6">
      <c r="A162" t="s">
        <v>96</v>
      </c>
      <c r="B162" t="s">
        <v>41</v>
      </c>
      <c r="C162" s="93">
        <v>3600</v>
      </c>
      <c r="D162" s="93">
        <v>3600</v>
      </c>
      <c r="E162" s="93">
        <v>58</v>
      </c>
      <c r="F162" s="75">
        <v>7.2333333333333334</v>
      </c>
    </row>
    <row r="163" spans="1:6">
      <c r="B163" t="s">
        <v>84</v>
      </c>
      <c r="C163" s="93">
        <v>3600</v>
      </c>
      <c r="D163" s="93">
        <v>3600</v>
      </c>
      <c r="E163" s="93">
        <v>37</v>
      </c>
      <c r="F163" s="75">
        <v>4.5999999999999996</v>
      </c>
    </row>
    <row r="164" spans="1:6">
      <c r="A164" t="s">
        <v>568</v>
      </c>
      <c r="C164" s="93">
        <v>7200</v>
      </c>
      <c r="D164" s="93">
        <v>7200</v>
      </c>
      <c r="E164" s="93">
        <v>95</v>
      </c>
      <c r="F164" s="75">
        <v>11.833333333333332</v>
      </c>
    </row>
    <row r="165" spans="1:6">
      <c r="A165" t="s">
        <v>223</v>
      </c>
      <c r="B165" t="s">
        <v>36</v>
      </c>
      <c r="C165" s="93">
        <v>3600</v>
      </c>
      <c r="D165" s="93">
        <v>4800</v>
      </c>
      <c r="E165" s="93">
        <v>39</v>
      </c>
      <c r="F165" s="75">
        <v>4.8</v>
      </c>
    </row>
    <row r="166" spans="1:6">
      <c r="B166" t="s">
        <v>216</v>
      </c>
      <c r="C166" s="93">
        <v>3600</v>
      </c>
      <c r="D166" s="93">
        <v>2400</v>
      </c>
      <c r="E166" s="93">
        <v>82</v>
      </c>
      <c r="F166" s="75">
        <v>10.166666666666666</v>
      </c>
    </row>
    <row r="167" spans="1:6">
      <c r="A167" t="s">
        <v>569</v>
      </c>
      <c r="C167" s="93">
        <v>7200</v>
      </c>
      <c r="D167" s="93">
        <v>7200</v>
      </c>
      <c r="E167" s="93">
        <v>121</v>
      </c>
      <c r="F167" s="75">
        <v>14.966666666666665</v>
      </c>
    </row>
    <row r="168" spans="1:6">
      <c r="A168" t="s">
        <v>44</v>
      </c>
      <c r="B168" t="s">
        <v>36</v>
      </c>
      <c r="C168" s="93">
        <v>2500</v>
      </c>
      <c r="D168" s="93">
        <v>2500</v>
      </c>
      <c r="E168" s="93">
        <v>23</v>
      </c>
      <c r="F168" s="75">
        <v>2.8666666666666667</v>
      </c>
    </row>
    <row r="169" spans="1:6">
      <c r="B169" t="s">
        <v>41</v>
      </c>
      <c r="C169" s="93">
        <v>3600</v>
      </c>
      <c r="D169" s="93">
        <v>3600</v>
      </c>
      <c r="E169" s="93">
        <v>30</v>
      </c>
      <c r="F169" s="75">
        <v>3.7</v>
      </c>
    </row>
    <row r="170" spans="1:6">
      <c r="A170" t="s">
        <v>570</v>
      </c>
      <c r="C170" s="93">
        <v>6100</v>
      </c>
      <c r="D170" s="93">
        <v>6100</v>
      </c>
      <c r="E170" s="93">
        <v>53</v>
      </c>
      <c r="F170" s="75">
        <v>6.5666666666666664</v>
      </c>
    </row>
    <row r="171" spans="1:6">
      <c r="A171" t="s">
        <v>131</v>
      </c>
      <c r="B171" t="s">
        <v>51</v>
      </c>
      <c r="C171" s="93">
        <v>8400</v>
      </c>
      <c r="D171" s="93">
        <v>6000</v>
      </c>
      <c r="E171" s="93">
        <v>57</v>
      </c>
      <c r="F171" s="75">
        <v>7.0666666666666664</v>
      </c>
    </row>
    <row r="172" spans="1:6">
      <c r="A172" t="s">
        <v>571</v>
      </c>
      <c r="C172" s="93">
        <v>8400</v>
      </c>
      <c r="D172" s="93">
        <v>6000</v>
      </c>
      <c r="E172" s="93">
        <v>57</v>
      </c>
      <c r="F172" s="75">
        <v>7.0666666666666664</v>
      </c>
    </row>
    <row r="173" spans="1:6">
      <c r="A173" t="s">
        <v>286</v>
      </c>
      <c r="B173" t="s">
        <v>41</v>
      </c>
      <c r="C173" s="93">
        <v>3600</v>
      </c>
      <c r="D173" s="93">
        <v>6000</v>
      </c>
      <c r="E173" s="93">
        <v>40</v>
      </c>
      <c r="F173" s="75">
        <v>4.9000000000000004</v>
      </c>
    </row>
    <row r="174" spans="1:6">
      <c r="A174" t="s">
        <v>572</v>
      </c>
      <c r="C174" s="93">
        <v>3600</v>
      </c>
      <c r="D174" s="93">
        <v>6000</v>
      </c>
      <c r="E174" s="93">
        <v>40</v>
      </c>
      <c r="F174" s="75">
        <v>4.9000000000000004</v>
      </c>
    </row>
    <row r="175" spans="1:6">
      <c r="A175" t="s">
        <v>261</v>
      </c>
      <c r="B175" t="s">
        <v>36</v>
      </c>
      <c r="C175" s="93">
        <v>3600</v>
      </c>
      <c r="D175" s="93">
        <v>4800</v>
      </c>
      <c r="E175" s="93">
        <v>42</v>
      </c>
      <c r="F175" s="75">
        <v>5.2</v>
      </c>
    </row>
    <row r="176" spans="1:6">
      <c r="B176" t="s">
        <v>216</v>
      </c>
      <c r="C176" s="93">
        <v>3600</v>
      </c>
      <c r="D176" s="93">
        <v>1200</v>
      </c>
      <c r="E176" s="93"/>
      <c r="F176" s="75"/>
    </row>
    <row r="177" spans="1:6">
      <c r="A177" t="s">
        <v>573</v>
      </c>
      <c r="C177" s="93">
        <v>7200</v>
      </c>
      <c r="D177" s="93">
        <v>6000</v>
      </c>
      <c r="E177" s="93">
        <v>42</v>
      </c>
      <c r="F177" s="75">
        <v>5.2</v>
      </c>
    </row>
    <row r="178" spans="1:6">
      <c r="A178" t="s">
        <v>201</v>
      </c>
      <c r="B178" t="s">
        <v>203</v>
      </c>
      <c r="C178" s="93">
        <v>3600</v>
      </c>
      <c r="D178" s="93">
        <v>1800</v>
      </c>
      <c r="E178" s="93">
        <v>97</v>
      </c>
      <c r="F178" s="75">
        <v>12.1</v>
      </c>
    </row>
    <row r="179" spans="1:6">
      <c r="B179" t="s">
        <v>41</v>
      </c>
      <c r="C179" s="93">
        <v>3600</v>
      </c>
      <c r="D179" s="93">
        <v>3600</v>
      </c>
      <c r="E179" s="93">
        <v>37</v>
      </c>
      <c r="F179" s="75">
        <v>4.5999999999999996</v>
      </c>
    </row>
    <row r="180" spans="1:6">
      <c r="A180" t="s">
        <v>574</v>
      </c>
      <c r="C180" s="93">
        <v>7200</v>
      </c>
      <c r="D180" s="93">
        <v>5400</v>
      </c>
      <c r="E180" s="93">
        <v>134</v>
      </c>
      <c r="F180" s="75">
        <v>16.7</v>
      </c>
    </row>
    <row r="181" spans="1:6">
      <c r="A181" t="s">
        <v>116</v>
      </c>
      <c r="B181" t="s">
        <v>76</v>
      </c>
      <c r="C181" s="93">
        <v>5000</v>
      </c>
      <c r="D181" s="93">
        <v>5000</v>
      </c>
      <c r="E181" s="93">
        <v>9</v>
      </c>
      <c r="F181" s="75">
        <v>1.0333333333333334</v>
      </c>
    </row>
    <row r="182" spans="1:6">
      <c r="A182" t="s">
        <v>575</v>
      </c>
      <c r="C182" s="93">
        <v>5000</v>
      </c>
      <c r="D182" s="93">
        <v>5000</v>
      </c>
      <c r="E182" s="93">
        <v>9</v>
      </c>
      <c r="F182" s="75">
        <v>1.0333333333333334</v>
      </c>
    </row>
    <row r="183" spans="1:6">
      <c r="A183" t="s">
        <v>144</v>
      </c>
      <c r="B183" t="s">
        <v>41</v>
      </c>
      <c r="C183" s="93">
        <v>10800</v>
      </c>
      <c r="D183" s="93">
        <v>4800</v>
      </c>
      <c r="E183" s="93">
        <v>42</v>
      </c>
      <c r="F183" s="75">
        <v>5.2333333333333334</v>
      </c>
    </row>
    <row r="184" spans="1:6">
      <c r="A184" t="s">
        <v>576</v>
      </c>
      <c r="C184" s="93">
        <v>10800</v>
      </c>
      <c r="D184" s="93">
        <v>4800</v>
      </c>
      <c r="E184" s="93">
        <v>42</v>
      </c>
      <c r="F184" s="75">
        <v>5.2333333333333334</v>
      </c>
    </row>
    <row r="185" spans="1:6">
      <c r="A185" t="s">
        <v>134</v>
      </c>
      <c r="B185" t="s">
        <v>51</v>
      </c>
      <c r="C185" s="93">
        <v>4800</v>
      </c>
      <c r="D185" s="93">
        <v>4800</v>
      </c>
      <c r="E185" s="93">
        <v>41</v>
      </c>
      <c r="F185" s="75">
        <v>5.0333333333333332</v>
      </c>
    </row>
    <row r="186" spans="1:6">
      <c r="A186" t="s">
        <v>577</v>
      </c>
      <c r="C186" s="93">
        <v>4800</v>
      </c>
      <c r="D186" s="93">
        <v>4800</v>
      </c>
      <c r="E186" s="93">
        <v>41</v>
      </c>
      <c r="F186" s="75">
        <v>5.0333333333333332</v>
      </c>
    </row>
    <row r="187" spans="1:6">
      <c r="A187" t="s">
        <v>305</v>
      </c>
      <c r="B187" t="s">
        <v>217</v>
      </c>
      <c r="C187" s="93">
        <v>3600</v>
      </c>
      <c r="D187" s="93">
        <v>4800</v>
      </c>
      <c r="E187" s="93"/>
      <c r="F187" s="75"/>
    </row>
    <row r="188" spans="1:6">
      <c r="A188" t="s">
        <v>578</v>
      </c>
      <c r="C188" s="93">
        <v>3600</v>
      </c>
      <c r="D188" s="93">
        <v>4800</v>
      </c>
      <c r="E188" s="93"/>
      <c r="F188" s="75"/>
    </row>
    <row r="189" spans="1:6">
      <c r="A189" t="s">
        <v>299</v>
      </c>
      <c r="B189" t="s">
        <v>217</v>
      </c>
      <c r="C189" s="93"/>
      <c r="D189" s="93"/>
      <c r="E189" s="93"/>
      <c r="F189" s="75"/>
    </row>
    <row r="190" spans="1:6">
      <c r="B190" t="s">
        <v>216</v>
      </c>
      <c r="C190" s="93">
        <v>3600</v>
      </c>
      <c r="D190" s="93">
        <v>3600</v>
      </c>
      <c r="E190" s="93"/>
      <c r="F190" s="75"/>
    </row>
    <row r="191" spans="1:6">
      <c r="A191" t="s">
        <v>579</v>
      </c>
      <c r="C191" s="93">
        <v>3600</v>
      </c>
      <c r="D191" s="93">
        <v>3600</v>
      </c>
      <c r="E191" s="93"/>
      <c r="F191" s="75"/>
    </row>
    <row r="192" spans="1:6">
      <c r="A192" t="s">
        <v>186</v>
      </c>
      <c r="B192" t="s">
        <v>36</v>
      </c>
      <c r="C192" s="93">
        <v>3600</v>
      </c>
      <c r="D192" s="93">
        <v>3600</v>
      </c>
      <c r="E192" s="93">
        <v>115</v>
      </c>
      <c r="F192" s="75">
        <v>14.266666666666667</v>
      </c>
    </row>
    <row r="193" spans="1:6">
      <c r="B193" t="s">
        <v>94</v>
      </c>
      <c r="C193" s="93"/>
      <c r="D193" s="93"/>
      <c r="E193" s="93"/>
      <c r="F193" s="75"/>
    </row>
    <row r="194" spans="1:6">
      <c r="A194" t="s">
        <v>580</v>
      </c>
      <c r="C194" s="93">
        <v>3600</v>
      </c>
      <c r="D194" s="93">
        <v>3600</v>
      </c>
      <c r="E194" s="93">
        <v>115</v>
      </c>
      <c r="F194" s="75">
        <v>14.266666666666667</v>
      </c>
    </row>
    <row r="195" spans="1:6">
      <c r="A195" t="s">
        <v>283</v>
      </c>
      <c r="B195" t="s">
        <v>41</v>
      </c>
      <c r="C195" s="93">
        <v>3600</v>
      </c>
      <c r="D195" s="93">
        <v>3600</v>
      </c>
      <c r="E195" s="93">
        <v>84</v>
      </c>
      <c r="F195" s="75">
        <v>10.5</v>
      </c>
    </row>
    <row r="196" spans="1:6">
      <c r="A196" t="s">
        <v>581</v>
      </c>
      <c r="C196" s="93">
        <v>3600</v>
      </c>
      <c r="D196" s="93">
        <v>3600</v>
      </c>
      <c r="E196" s="93">
        <v>84</v>
      </c>
      <c r="F196" s="75">
        <v>10.5</v>
      </c>
    </row>
    <row r="197" spans="1:6">
      <c r="A197" t="s">
        <v>302</v>
      </c>
      <c r="B197" t="s">
        <v>217</v>
      </c>
      <c r="C197" s="93"/>
      <c r="D197" s="93"/>
      <c r="E197" s="93"/>
      <c r="F197" s="75"/>
    </row>
    <row r="198" spans="1:6">
      <c r="B198" t="s">
        <v>216</v>
      </c>
      <c r="C198" s="93">
        <v>3600</v>
      </c>
      <c r="D198" s="93">
        <v>3600</v>
      </c>
      <c r="E198" s="93"/>
      <c r="F198" s="75"/>
    </row>
    <row r="199" spans="1:6">
      <c r="A199" t="s">
        <v>582</v>
      </c>
      <c r="C199" s="93">
        <v>3600</v>
      </c>
      <c r="D199" s="93">
        <v>3600</v>
      </c>
      <c r="E199" s="93"/>
      <c r="F199" s="75"/>
    </row>
    <row r="200" spans="1:6">
      <c r="A200" t="s">
        <v>297</v>
      </c>
      <c r="B200" t="s">
        <v>41</v>
      </c>
      <c r="C200" s="93">
        <v>3600</v>
      </c>
      <c r="D200" s="93">
        <v>3600</v>
      </c>
      <c r="E200" s="93">
        <v>84</v>
      </c>
      <c r="F200" s="75">
        <v>10.5</v>
      </c>
    </row>
    <row r="201" spans="1:6">
      <c r="A201" t="s">
        <v>583</v>
      </c>
      <c r="C201" s="93">
        <v>3600</v>
      </c>
      <c r="D201" s="93">
        <v>3600</v>
      </c>
      <c r="E201" s="93">
        <v>84</v>
      </c>
      <c r="F201" s="75">
        <v>10.5</v>
      </c>
    </row>
    <row r="202" spans="1:6">
      <c r="A202" t="s">
        <v>129</v>
      </c>
      <c r="B202" t="s">
        <v>41</v>
      </c>
      <c r="C202" s="93">
        <v>3600</v>
      </c>
      <c r="D202" s="93">
        <v>3600</v>
      </c>
      <c r="E202" s="93">
        <v>28</v>
      </c>
      <c r="F202" s="75">
        <v>3.4666666666666668</v>
      </c>
    </row>
    <row r="203" spans="1:6">
      <c r="A203" t="s">
        <v>584</v>
      </c>
      <c r="C203" s="93">
        <v>3600</v>
      </c>
      <c r="D203" s="93">
        <v>3600</v>
      </c>
      <c r="E203" s="93">
        <v>28</v>
      </c>
      <c r="F203" s="75">
        <v>3.4666666666666668</v>
      </c>
    </row>
    <row r="204" spans="1:6">
      <c r="A204" t="s">
        <v>119</v>
      </c>
      <c r="B204" t="s">
        <v>36</v>
      </c>
      <c r="C204" s="93">
        <v>3600</v>
      </c>
      <c r="D204" s="93">
        <v>3600</v>
      </c>
      <c r="E204" s="93">
        <v>30</v>
      </c>
      <c r="F204" s="75">
        <v>3.6333333333333333</v>
      </c>
    </row>
    <row r="205" spans="1:6">
      <c r="A205" t="s">
        <v>585</v>
      </c>
      <c r="C205" s="93">
        <v>3600</v>
      </c>
      <c r="D205" s="93">
        <v>3600</v>
      </c>
      <c r="E205" s="93">
        <v>30</v>
      </c>
      <c r="F205" s="75">
        <v>3.6333333333333333</v>
      </c>
    </row>
    <row r="206" spans="1:6">
      <c r="A206" t="s">
        <v>184</v>
      </c>
      <c r="B206" t="s">
        <v>51</v>
      </c>
      <c r="C206" s="93">
        <v>3600</v>
      </c>
      <c r="D206" s="93">
        <v>3600</v>
      </c>
      <c r="E206" s="93">
        <v>21</v>
      </c>
      <c r="F206" s="75">
        <v>2.6</v>
      </c>
    </row>
    <row r="207" spans="1:6">
      <c r="A207" t="s">
        <v>586</v>
      </c>
      <c r="C207" s="93">
        <v>3600</v>
      </c>
      <c r="D207" s="93">
        <v>3600</v>
      </c>
      <c r="E207" s="93">
        <v>21</v>
      </c>
      <c r="F207" s="75">
        <v>2.6</v>
      </c>
    </row>
    <row r="208" spans="1:6">
      <c r="A208" t="s">
        <v>125</v>
      </c>
      <c r="B208" t="s">
        <v>41</v>
      </c>
      <c r="C208" s="93">
        <v>3600</v>
      </c>
      <c r="D208" s="93">
        <v>3600</v>
      </c>
      <c r="E208" s="93">
        <v>17</v>
      </c>
      <c r="F208" s="75">
        <v>2.1</v>
      </c>
    </row>
    <row r="209" spans="1:6">
      <c r="A209" t="s">
        <v>587</v>
      </c>
      <c r="C209" s="93">
        <v>3600</v>
      </c>
      <c r="D209" s="93">
        <v>3600</v>
      </c>
      <c r="E209" s="93">
        <v>17</v>
      </c>
      <c r="F209" s="75">
        <v>2.1</v>
      </c>
    </row>
    <row r="210" spans="1:6">
      <c r="A210" t="s">
        <v>199</v>
      </c>
      <c r="B210" t="s">
        <v>94</v>
      </c>
      <c r="C210" s="93">
        <v>3600</v>
      </c>
      <c r="D210" s="93">
        <v>3600</v>
      </c>
      <c r="E210" s="93">
        <v>12</v>
      </c>
      <c r="F210" s="75">
        <v>1.4666666666666666</v>
      </c>
    </row>
    <row r="211" spans="1:6">
      <c r="A211" t="s">
        <v>588</v>
      </c>
      <c r="C211" s="93">
        <v>3600</v>
      </c>
      <c r="D211" s="93">
        <v>3600</v>
      </c>
      <c r="E211" s="93">
        <v>12</v>
      </c>
      <c r="F211" s="75">
        <v>1.4666666666666666</v>
      </c>
    </row>
    <row r="212" spans="1:6">
      <c r="A212" t="s">
        <v>263</v>
      </c>
      <c r="B212" t="s">
        <v>217</v>
      </c>
      <c r="C212" s="93">
        <v>3600</v>
      </c>
      <c r="D212" s="93"/>
      <c r="E212" s="93"/>
      <c r="F212" s="75"/>
    </row>
    <row r="213" spans="1:6">
      <c r="B213" t="s">
        <v>264</v>
      </c>
      <c r="C213" s="93">
        <v>3000</v>
      </c>
      <c r="D213" s="93">
        <v>3000</v>
      </c>
      <c r="E213" s="93">
        <v>31</v>
      </c>
      <c r="F213" s="75">
        <v>3.8666666666666667</v>
      </c>
    </row>
    <row r="214" spans="1:6">
      <c r="A214" t="s">
        <v>589</v>
      </c>
      <c r="C214" s="93">
        <v>6600</v>
      </c>
      <c r="D214" s="93">
        <v>3000</v>
      </c>
      <c r="E214" s="93">
        <v>31</v>
      </c>
      <c r="F214" s="75">
        <v>3.8666666666666667</v>
      </c>
    </row>
    <row r="215" spans="1:6">
      <c r="A215" t="s">
        <v>142</v>
      </c>
      <c r="B215" t="s">
        <v>94</v>
      </c>
      <c r="C215" s="93">
        <v>3000</v>
      </c>
      <c r="D215" s="93">
        <v>3000</v>
      </c>
      <c r="E215" s="93">
        <v>44</v>
      </c>
      <c r="F215" s="75">
        <v>5.4666666666666668</v>
      </c>
    </row>
    <row r="216" spans="1:6">
      <c r="A216" t="s">
        <v>590</v>
      </c>
      <c r="C216" s="93">
        <v>3000</v>
      </c>
      <c r="D216" s="93">
        <v>3000</v>
      </c>
      <c r="E216" s="93">
        <v>44</v>
      </c>
      <c r="F216" s="75">
        <v>5.4666666666666668</v>
      </c>
    </row>
    <row r="217" spans="1:6">
      <c r="A217" t="s">
        <v>209</v>
      </c>
      <c r="B217" t="s">
        <v>94</v>
      </c>
      <c r="C217" s="93">
        <v>3000</v>
      </c>
      <c r="D217" s="93">
        <v>3000</v>
      </c>
      <c r="E217" s="93">
        <v>130</v>
      </c>
      <c r="F217" s="75">
        <v>16.2</v>
      </c>
    </row>
    <row r="218" spans="1:6">
      <c r="A218" t="s">
        <v>591</v>
      </c>
      <c r="C218" s="93">
        <v>3000</v>
      </c>
      <c r="D218" s="93">
        <v>3000</v>
      </c>
      <c r="E218" s="93">
        <v>130</v>
      </c>
      <c r="F218" s="75">
        <v>16.2</v>
      </c>
    </row>
    <row r="219" spans="1:6">
      <c r="A219" t="s">
        <v>281</v>
      </c>
      <c r="B219" t="s">
        <v>264</v>
      </c>
      <c r="C219" s="93">
        <v>2500</v>
      </c>
      <c r="D219" s="93">
        <v>2500</v>
      </c>
      <c r="E219" s="93">
        <v>88</v>
      </c>
      <c r="F219" s="75">
        <v>10.9</v>
      </c>
    </row>
    <row r="220" spans="1:6">
      <c r="A220" t="s">
        <v>592</v>
      </c>
      <c r="C220" s="93">
        <v>2500</v>
      </c>
      <c r="D220" s="93">
        <v>2500</v>
      </c>
      <c r="E220" s="93">
        <v>88</v>
      </c>
      <c r="F220" s="75">
        <v>10.9</v>
      </c>
    </row>
    <row r="221" spans="1:6">
      <c r="A221" t="s">
        <v>278</v>
      </c>
      <c r="B221" t="s">
        <v>264</v>
      </c>
      <c r="C221" s="93">
        <v>2500</v>
      </c>
      <c r="D221" s="93">
        <v>2500</v>
      </c>
      <c r="E221" s="93">
        <v>88</v>
      </c>
      <c r="F221" s="75">
        <v>10.9</v>
      </c>
    </row>
    <row r="222" spans="1:6">
      <c r="A222" t="s">
        <v>593</v>
      </c>
      <c r="C222" s="93">
        <v>2500</v>
      </c>
      <c r="D222" s="93">
        <v>2500</v>
      </c>
      <c r="E222" s="93">
        <v>88</v>
      </c>
      <c r="F222" s="75">
        <v>10.9</v>
      </c>
    </row>
    <row r="223" spans="1:6">
      <c r="A223" t="s">
        <v>243</v>
      </c>
      <c r="B223" t="s">
        <v>217</v>
      </c>
      <c r="C223" s="93">
        <v>3600</v>
      </c>
      <c r="D223" s="93">
        <v>2400</v>
      </c>
      <c r="E223" s="93">
        <v>110</v>
      </c>
      <c r="F223" s="75">
        <v>13.7</v>
      </c>
    </row>
    <row r="224" spans="1:6">
      <c r="A224" t="s">
        <v>594</v>
      </c>
      <c r="C224" s="93">
        <v>3600</v>
      </c>
      <c r="D224" s="93">
        <v>2400</v>
      </c>
      <c r="E224" s="93">
        <v>110</v>
      </c>
      <c r="F224" s="75">
        <v>13.7</v>
      </c>
    </row>
    <row r="225" spans="1:6">
      <c r="A225" t="s">
        <v>287</v>
      </c>
      <c r="B225" t="s">
        <v>247</v>
      </c>
      <c r="C225" s="93">
        <v>3600</v>
      </c>
      <c r="D225" s="93">
        <v>2400</v>
      </c>
      <c r="E225" s="93"/>
      <c r="F225" s="75"/>
    </row>
    <row r="226" spans="1:6">
      <c r="B226" t="s">
        <v>252</v>
      </c>
      <c r="C226" s="93">
        <v>3600</v>
      </c>
      <c r="D226" s="93"/>
      <c r="E226" s="93"/>
      <c r="F226" s="75"/>
    </row>
    <row r="227" spans="1:6">
      <c r="A227" t="s">
        <v>595</v>
      </c>
      <c r="C227" s="93">
        <v>7200</v>
      </c>
      <c r="D227" s="93">
        <v>2400</v>
      </c>
      <c r="E227" s="93"/>
      <c r="F227" s="75"/>
    </row>
    <row r="228" spans="1:6">
      <c r="A228" t="s">
        <v>197</v>
      </c>
      <c r="B228" t="s">
        <v>51</v>
      </c>
      <c r="C228" s="93">
        <v>3600</v>
      </c>
      <c r="D228" s="93">
        <v>1400</v>
      </c>
      <c r="E228" s="93">
        <v>139</v>
      </c>
      <c r="F228" s="75">
        <v>17.366666666666667</v>
      </c>
    </row>
    <row r="229" spans="1:6">
      <c r="A229" t="s">
        <v>596</v>
      </c>
      <c r="C229" s="93">
        <v>3600</v>
      </c>
      <c r="D229" s="93">
        <v>1400</v>
      </c>
      <c r="E229" s="93">
        <v>139</v>
      </c>
      <c r="F229" s="75">
        <v>17.366666666666667</v>
      </c>
    </row>
    <row r="230" spans="1:6">
      <c r="A230" t="s">
        <v>273</v>
      </c>
      <c r="B230" t="s">
        <v>41</v>
      </c>
      <c r="C230" s="93">
        <v>3600</v>
      </c>
      <c r="D230" s="93">
        <v>1200</v>
      </c>
      <c r="E230" s="93">
        <v>90</v>
      </c>
      <c r="F230" s="75">
        <v>11.133333333333333</v>
      </c>
    </row>
    <row r="231" spans="1:6">
      <c r="A231" t="s">
        <v>597</v>
      </c>
      <c r="C231" s="93">
        <v>3600</v>
      </c>
      <c r="D231" s="93">
        <v>1200</v>
      </c>
      <c r="E231" s="93">
        <v>90</v>
      </c>
      <c r="F231" s="75">
        <v>11.133333333333333</v>
      </c>
    </row>
    <row r="232" spans="1:6">
      <c r="A232" t="s">
        <v>289</v>
      </c>
      <c r="B232" t="s">
        <v>41</v>
      </c>
      <c r="C232" s="93">
        <v>3600</v>
      </c>
      <c r="D232" s="93">
        <v>1200</v>
      </c>
      <c r="E232" s="93">
        <v>84</v>
      </c>
      <c r="F232" s="75">
        <v>10.4</v>
      </c>
    </row>
    <row r="233" spans="1:6">
      <c r="A233" t="s">
        <v>598</v>
      </c>
      <c r="C233" s="93">
        <v>3600</v>
      </c>
      <c r="D233" s="93">
        <v>1200</v>
      </c>
      <c r="E233" s="93">
        <v>84</v>
      </c>
      <c r="F233" s="75">
        <v>10.4</v>
      </c>
    </row>
    <row r="234" spans="1:6">
      <c r="A234" t="s">
        <v>33</v>
      </c>
      <c r="B234" t="s">
        <v>36</v>
      </c>
      <c r="C234" s="93">
        <v>0</v>
      </c>
      <c r="D234" s="93">
        <v>0</v>
      </c>
      <c r="E234" s="93">
        <v>24</v>
      </c>
      <c r="F234" s="75">
        <v>2.9</v>
      </c>
    </row>
    <row r="235" spans="1:6">
      <c r="B235" t="s">
        <v>41</v>
      </c>
      <c r="C235" s="93">
        <v>0</v>
      </c>
      <c r="D235" s="93">
        <v>0</v>
      </c>
      <c r="E235" s="93">
        <v>32</v>
      </c>
      <c r="F235" s="75">
        <v>3.9</v>
      </c>
    </row>
    <row r="236" spans="1:6">
      <c r="A236" t="s">
        <v>599</v>
      </c>
      <c r="C236" s="93">
        <v>0</v>
      </c>
      <c r="D236" s="93">
        <v>0</v>
      </c>
      <c r="E236" s="93">
        <v>56</v>
      </c>
      <c r="F236" s="75">
        <v>6.8</v>
      </c>
    </row>
    <row r="237" spans="1:6">
      <c r="A237" t="s">
        <v>506</v>
      </c>
      <c r="C237" s="93">
        <v>586100</v>
      </c>
      <c r="D237" s="93">
        <v>578500</v>
      </c>
      <c r="E237" s="93">
        <v>5994</v>
      </c>
      <c r="F237" s="75">
        <v>749.43333333333351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A34A7-7DAD-463C-94EC-25E492188A8B}">
  <dimension ref="B1:N56"/>
  <sheetViews>
    <sheetView workbookViewId="0">
      <selection activeCell="E13" sqref="E13"/>
    </sheetView>
  </sheetViews>
  <sheetFormatPr defaultRowHeight="15"/>
  <cols>
    <col min="2" max="3" width="21" bestFit="1" customWidth="1"/>
    <col min="4" max="4" width="9.140625" bestFit="1" customWidth="1"/>
    <col min="5" max="5" width="7.5703125" bestFit="1" customWidth="1"/>
    <col min="6" max="6" width="8.42578125" bestFit="1" customWidth="1"/>
    <col min="7" max="7" width="9" bestFit="1" customWidth="1"/>
    <col min="8" max="8" width="7.7109375" bestFit="1" customWidth="1"/>
    <col min="9" max="9" width="6.85546875" bestFit="1" customWidth="1"/>
    <col min="10" max="10" width="7.85546875" bestFit="1" customWidth="1"/>
    <col min="11" max="11" width="7.140625" bestFit="1" customWidth="1"/>
    <col min="12" max="12" width="7.42578125" bestFit="1" customWidth="1"/>
    <col min="13" max="13" width="5.7109375" bestFit="1" customWidth="1"/>
    <col min="14" max="14" width="11.140625" bestFit="1" customWidth="1"/>
    <col min="15" max="15" width="14" bestFit="1" customWidth="1"/>
    <col min="16" max="16" width="21.42578125" bestFit="1" customWidth="1"/>
    <col min="17" max="17" width="14" bestFit="1" customWidth="1"/>
    <col min="18" max="18" width="21.42578125" bestFit="1" customWidth="1"/>
    <col min="19" max="19" width="14" bestFit="1" customWidth="1"/>
    <col min="20" max="20" width="21.42578125" bestFit="1" customWidth="1"/>
    <col min="21" max="21" width="14" bestFit="1" customWidth="1"/>
    <col min="22" max="22" width="21.42578125" bestFit="1" customWidth="1"/>
    <col min="23" max="23" width="18.7109375" bestFit="1" customWidth="1"/>
    <col min="24" max="24" width="26.28515625" bestFit="1" customWidth="1"/>
  </cols>
  <sheetData>
    <row r="1" spans="2:14">
      <c r="B1" s="55" t="s">
        <v>7</v>
      </c>
      <c r="C1" t="s">
        <v>65</v>
      </c>
    </row>
    <row r="3" spans="2:14">
      <c r="B3" s="55" t="s">
        <v>524</v>
      </c>
      <c r="D3" s="55" t="s">
        <v>14</v>
      </c>
    </row>
    <row r="4" spans="2:14">
      <c r="B4" s="55" t="s">
        <v>5</v>
      </c>
      <c r="C4" s="55" t="s">
        <v>4</v>
      </c>
      <c r="D4" t="s">
        <v>162</v>
      </c>
      <c r="E4" t="s">
        <v>52</v>
      </c>
      <c r="F4" t="s">
        <v>145</v>
      </c>
      <c r="G4" t="s">
        <v>168</v>
      </c>
      <c r="H4" t="s">
        <v>100</v>
      </c>
      <c r="I4" t="s">
        <v>77</v>
      </c>
      <c r="J4" t="s">
        <v>211</v>
      </c>
      <c r="K4" t="s">
        <v>602</v>
      </c>
      <c r="L4" t="s">
        <v>151</v>
      </c>
      <c r="M4" t="s">
        <v>292</v>
      </c>
      <c r="N4" t="s">
        <v>506</v>
      </c>
    </row>
    <row r="5" spans="2:14">
      <c r="B5" t="s">
        <v>34</v>
      </c>
      <c r="C5" t="s">
        <v>261</v>
      </c>
      <c r="L5">
        <v>1</v>
      </c>
      <c r="N5">
        <v>1</v>
      </c>
    </row>
    <row r="6" spans="2:14">
      <c r="B6" t="s">
        <v>633</v>
      </c>
      <c r="L6">
        <v>1</v>
      </c>
      <c r="N6">
        <v>1</v>
      </c>
    </row>
    <row r="7" spans="2:14">
      <c r="B7" t="s">
        <v>93</v>
      </c>
      <c r="C7" t="s">
        <v>269</v>
      </c>
      <c r="J7">
        <v>1</v>
      </c>
      <c r="N7">
        <v>1</v>
      </c>
    </row>
    <row r="8" spans="2:14">
      <c r="C8" t="s">
        <v>223</v>
      </c>
      <c r="I8">
        <v>1</v>
      </c>
      <c r="N8">
        <v>1</v>
      </c>
    </row>
    <row r="9" spans="2:14">
      <c r="C9" t="s">
        <v>278</v>
      </c>
      <c r="D9">
        <v>1</v>
      </c>
      <c r="N9">
        <v>1</v>
      </c>
    </row>
    <row r="10" spans="2:14">
      <c r="C10" t="s">
        <v>209</v>
      </c>
      <c r="J10">
        <v>1</v>
      </c>
      <c r="N10">
        <v>1</v>
      </c>
    </row>
    <row r="11" spans="2:14">
      <c r="C11" t="s">
        <v>281</v>
      </c>
      <c r="D11">
        <v>1</v>
      </c>
      <c r="N11">
        <v>1</v>
      </c>
    </row>
    <row r="12" spans="2:14">
      <c r="C12" t="s">
        <v>263</v>
      </c>
      <c r="J12">
        <v>1</v>
      </c>
      <c r="N12">
        <v>1</v>
      </c>
    </row>
    <row r="13" spans="2:14">
      <c r="B13" t="s">
        <v>634</v>
      </c>
      <c r="D13">
        <v>2</v>
      </c>
      <c r="I13">
        <v>1</v>
      </c>
      <c r="J13">
        <v>3</v>
      </c>
      <c r="N13">
        <v>6</v>
      </c>
    </row>
    <row r="14" spans="2:14">
      <c r="B14" t="s">
        <v>40</v>
      </c>
      <c r="C14" t="s">
        <v>275</v>
      </c>
      <c r="F14">
        <v>1</v>
      </c>
      <c r="N14">
        <v>1</v>
      </c>
    </row>
    <row r="15" spans="2:14">
      <c r="C15" t="s">
        <v>243</v>
      </c>
      <c r="I15">
        <v>1</v>
      </c>
      <c r="N15">
        <v>1</v>
      </c>
    </row>
    <row r="16" spans="2:14">
      <c r="C16" t="s">
        <v>246</v>
      </c>
      <c r="L16">
        <v>1</v>
      </c>
      <c r="N16">
        <v>1</v>
      </c>
    </row>
    <row r="17" spans="2:14">
      <c r="C17" t="s">
        <v>233</v>
      </c>
      <c r="E17">
        <v>1</v>
      </c>
      <c r="N17">
        <v>1</v>
      </c>
    </row>
    <row r="18" spans="2:14">
      <c r="C18" t="s">
        <v>215</v>
      </c>
      <c r="K18">
        <v>1</v>
      </c>
      <c r="N18">
        <v>1</v>
      </c>
    </row>
    <row r="19" spans="2:14">
      <c r="C19" t="s">
        <v>221</v>
      </c>
      <c r="J19">
        <v>1</v>
      </c>
      <c r="N19">
        <v>1</v>
      </c>
    </row>
    <row r="20" spans="2:14">
      <c r="C20" t="s">
        <v>219</v>
      </c>
      <c r="J20">
        <v>1</v>
      </c>
      <c r="N20">
        <v>1</v>
      </c>
    </row>
    <row r="21" spans="2:14">
      <c r="C21" t="s">
        <v>259</v>
      </c>
      <c r="L21">
        <v>1</v>
      </c>
      <c r="N21">
        <v>1</v>
      </c>
    </row>
    <row r="22" spans="2:14">
      <c r="C22" t="s">
        <v>226</v>
      </c>
      <c r="I22">
        <v>1</v>
      </c>
      <c r="N22">
        <v>1</v>
      </c>
    </row>
    <row r="23" spans="2:14">
      <c r="C23" t="s">
        <v>229</v>
      </c>
      <c r="H23">
        <v>1</v>
      </c>
      <c r="N23">
        <v>1</v>
      </c>
    </row>
    <row r="24" spans="2:14">
      <c r="C24" t="s">
        <v>273</v>
      </c>
      <c r="I24">
        <v>1</v>
      </c>
      <c r="N24">
        <v>1</v>
      </c>
    </row>
    <row r="25" spans="2:14">
      <c r="C25" t="s">
        <v>238</v>
      </c>
      <c r="E25">
        <v>1</v>
      </c>
      <c r="N25">
        <v>1</v>
      </c>
    </row>
    <row r="26" spans="2:14">
      <c r="C26" t="s">
        <v>255</v>
      </c>
      <c r="L26">
        <v>1</v>
      </c>
      <c r="N26">
        <v>1</v>
      </c>
    </row>
    <row r="27" spans="2:14">
      <c r="C27" t="s">
        <v>283</v>
      </c>
      <c r="L27">
        <v>1</v>
      </c>
      <c r="N27">
        <v>1</v>
      </c>
    </row>
    <row r="28" spans="2:14">
      <c r="C28" t="s">
        <v>621</v>
      </c>
      <c r="F28">
        <v>1</v>
      </c>
      <c r="N28">
        <v>1</v>
      </c>
    </row>
    <row r="29" spans="2:14">
      <c r="C29" t="s">
        <v>289</v>
      </c>
      <c r="F29">
        <v>1</v>
      </c>
      <c r="N29">
        <v>1</v>
      </c>
    </row>
    <row r="30" spans="2:14">
      <c r="C30" t="s">
        <v>291</v>
      </c>
      <c r="M30">
        <v>1</v>
      </c>
      <c r="N30">
        <v>1</v>
      </c>
    </row>
    <row r="31" spans="2:14">
      <c r="C31" t="s">
        <v>297</v>
      </c>
      <c r="I31">
        <v>1</v>
      </c>
      <c r="N31">
        <v>1</v>
      </c>
    </row>
    <row r="32" spans="2:14">
      <c r="B32" t="s">
        <v>635</v>
      </c>
      <c r="E32">
        <v>2</v>
      </c>
      <c r="F32">
        <v>3</v>
      </c>
      <c r="H32">
        <v>1</v>
      </c>
      <c r="I32">
        <v>4</v>
      </c>
      <c r="J32">
        <v>2</v>
      </c>
      <c r="K32">
        <v>1</v>
      </c>
      <c r="L32">
        <v>4</v>
      </c>
      <c r="M32">
        <v>1</v>
      </c>
      <c r="N32">
        <v>18</v>
      </c>
    </row>
    <row r="33" spans="2:14">
      <c r="B33" t="s">
        <v>83</v>
      </c>
      <c r="C33" t="s">
        <v>213</v>
      </c>
      <c r="E33">
        <v>1</v>
      </c>
      <c r="N33">
        <v>1</v>
      </c>
    </row>
    <row r="34" spans="2:14">
      <c r="C34" t="s">
        <v>157</v>
      </c>
      <c r="L34">
        <v>1</v>
      </c>
      <c r="N34">
        <v>1</v>
      </c>
    </row>
    <row r="35" spans="2:14">
      <c r="C35" t="s">
        <v>250</v>
      </c>
      <c r="F35">
        <v>1</v>
      </c>
      <c r="N35">
        <v>1</v>
      </c>
    </row>
    <row r="36" spans="2:14">
      <c r="C36" t="s">
        <v>147</v>
      </c>
      <c r="K36">
        <v>1</v>
      </c>
      <c r="N36">
        <v>1</v>
      </c>
    </row>
    <row r="37" spans="2:14">
      <c r="C37" t="s">
        <v>201</v>
      </c>
      <c r="H37">
        <v>1</v>
      </c>
      <c r="N37">
        <v>1</v>
      </c>
    </row>
    <row r="38" spans="2:14">
      <c r="B38" t="s">
        <v>636</v>
      </c>
      <c r="E38">
        <v>1</v>
      </c>
      <c r="F38">
        <v>1</v>
      </c>
      <c r="H38">
        <v>1</v>
      </c>
      <c r="K38">
        <v>1</v>
      </c>
      <c r="L38">
        <v>1</v>
      </c>
      <c r="N38">
        <v>5</v>
      </c>
    </row>
    <row r="39" spans="2:14">
      <c r="B39" t="s">
        <v>85</v>
      </c>
      <c r="C39" t="s">
        <v>99</v>
      </c>
      <c r="H39">
        <v>1</v>
      </c>
      <c r="N39">
        <v>1</v>
      </c>
    </row>
    <row r="40" spans="2:14">
      <c r="C40" t="s">
        <v>193</v>
      </c>
      <c r="G40">
        <v>1</v>
      </c>
      <c r="N40">
        <v>1</v>
      </c>
    </row>
    <row r="41" spans="2:14">
      <c r="C41" t="s">
        <v>179</v>
      </c>
      <c r="F41">
        <v>1</v>
      </c>
      <c r="N41">
        <v>1</v>
      </c>
    </row>
    <row r="42" spans="2:14">
      <c r="B42" t="s">
        <v>637</v>
      </c>
      <c r="F42">
        <v>1</v>
      </c>
      <c r="G42">
        <v>1</v>
      </c>
      <c r="H42">
        <v>1</v>
      </c>
      <c r="N42">
        <v>3</v>
      </c>
    </row>
    <row r="43" spans="2:14">
      <c r="B43" t="s">
        <v>102</v>
      </c>
      <c r="C43" t="s">
        <v>127</v>
      </c>
      <c r="I43">
        <v>1</v>
      </c>
      <c r="N43">
        <v>1</v>
      </c>
    </row>
    <row r="44" spans="2:14">
      <c r="C44" t="s">
        <v>161</v>
      </c>
      <c r="F44">
        <v>1</v>
      </c>
      <c r="N44">
        <v>1</v>
      </c>
    </row>
    <row r="45" spans="2:14">
      <c r="C45" t="s">
        <v>173</v>
      </c>
      <c r="F45">
        <v>1</v>
      </c>
      <c r="N45">
        <v>1</v>
      </c>
    </row>
    <row r="46" spans="2:14">
      <c r="C46" t="s">
        <v>181</v>
      </c>
      <c r="L46">
        <v>1</v>
      </c>
      <c r="N46">
        <v>1</v>
      </c>
    </row>
    <row r="47" spans="2:14">
      <c r="B47" t="s">
        <v>638</v>
      </c>
      <c r="F47">
        <v>2</v>
      </c>
      <c r="I47">
        <v>1</v>
      </c>
      <c r="L47">
        <v>1</v>
      </c>
      <c r="N47">
        <v>4</v>
      </c>
    </row>
    <row r="48" spans="2:14">
      <c r="B48" t="s">
        <v>108</v>
      </c>
      <c r="C48" t="s">
        <v>167</v>
      </c>
      <c r="G48">
        <v>1</v>
      </c>
      <c r="N48">
        <v>1</v>
      </c>
    </row>
    <row r="49" spans="2:14">
      <c r="B49" t="s">
        <v>639</v>
      </c>
      <c r="G49">
        <v>1</v>
      </c>
      <c r="N49">
        <v>1</v>
      </c>
    </row>
    <row r="50" spans="2:14">
      <c r="B50" t="s">
        <v>50</v>
      </c>
      <c r="C50" t="s">
        <v>205</v>
      </c>
      <c r="F50">
        <v>1</v>
      </c>
      <c r="N50">
        <v>1</v>
      </c>
    </row>
    <row r="51" spans="2:14">
      <c r="B51" t="s">
        <v>640</v>
      </c>
      <c r="F51">
        <v>1</v>
      </c>
      <c r="N51">
        <v>1</v>
      </c>
    </row>
    <row r="52" spans="2:14">
      <c r="B52" t="s">
        <v>57</v>
      </c>
      <c r="C52" t="s">
        <v>189</v>
      </c>
      <c r="E52">
        <v>1</v>
      </c>
      <c r="N52">
        <v>1</v>
      </c>
    </row>
    <row r="53" spans="2:14">
      <c r="B53" t="s">
        <v>641</v>
      </c>
      <c r="E53">
        <v>1</v>
      </c>
      <c r="N53">
        <v>1</v>
      </c>
    </row>
    <row r="54" spans="2:14">
      <c r="B54" t="s">
        <v>64</v>
      </c>
      <c r="C54" t="s">
        <v>49</v>
      </c>
      <c r="E54">
        <v>1</v>
      </c>
      <c r="N54">
        <v>1</v>
      </c>
    </row>
    <row r="55" spans="2:14">
      <c r="B55" t="s">
        <v>642</v>
      </c>
      <c r="E55">
        <v>1</v>
      </c>
      <c r="N55">
        <v>1</v>
      </c>
    </row>
    <row r="56" spans="2:14">
      <c r="B56" t="s">
        <v>506</v>
      </c>
      <c r="D56">
        <v>2</v>
      </c>
      <c r="E56">
        <v>5</v>
      </c>
      <c r="F56">
        <v>8</v>
      </c>
      <c r="G56">
        <v>2</v>
      </c>
      <c r="H56">
        <v>3</v>
      </c>
      <c r="I56">
        <v>6</v>
      </c>
      <c r="J56">
        <v>5</v>
      </c>
      <c r="K56">
        <v>2</v>
      </c>
      <c r="L56">
        <v>7</v>
      </c>
      <c r="M56">
        <v>1</v>
      </c>
      <c r="N56">
        <v>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C7C7-1210-D646-9FCC-C5E785E3DAF1}">
  <dimension ref="A1:G27"/>
  <sheetViews>
    <sheetView topLeftCell="A9" zoomScaleNormal="60" zoomScaleSheetLayoutView="100" workbookViewId="0">
      <selection activeCell="C23" sqref="C23"/>
    </sheetView>
  </sheetViews>
  <sheetFormatPr defaultRowHeight="15"/>
  <cols>
    <col min="1" max="1" width="5.42578125" customWidth="1"/>
    <col min="2" max="2" width="14.5703125" customWidth="1"/>
    <col min="3" max="3" width="24.140625" customWidth="1"/>
    <col min="4" max="4" width="11.7109375" customWidth="1"/>
    <col min="5" max="5" width="10.140625" customWidth="1"/>
    <col min="7" max="7" width="17.5703125" customWidth="1"/>
  </cols>
  <sheetData>
    <row r="1" spans="1:7">
      <c r="D1" t="s">
        <v>643</v>
      </c>
    </row>
    <row r="3" spans="1:7">
      <c r="A3" s="60" t="s">
        <v>644</v>
      </c>
      <c r="B3" s="60" t="s">
        <v>645</v>
      </c>
      <c r="C3" s="60" t="s">
        <v>646</v>
      </c>
      <c r="D3" s="60" t="s">
        <v>647</v>
      </c>
      <c r="E3" s="60" t="s">
        <v>648</v>
      </c>
      <c r="F3" s="60" t="s">
        <v>649</v>
      </c>
      <c r="G3" s="60" t="s">
        <v>650</v>
      </c>
    </row>
    <row r="4" spans="1:7">
      <c r="A4">
        <v>1</v>
      </c>
      <c r="B4" t="s">
        <v>651</v>
      </c>
      <c r="C4" t="s">
        <v>652</v>
      </c>
      <c r="D4" t="s">
        <v>203</v>
      </c>
      <c r="E4">
        <v>100</v>
      </c>
      <c r="F4" t="s">
        <v>46</v>
      </c>
      <c r="G4" t="s">
        <v>46</v>
      </c>
    </row>
    <row r="5" spans="1:7">
      <c r="A5">
        <v>2</v>
      </c>
      <c r="B5" t="s">
        <v>651</v>
      </c>
      <c r="C5" t="s">
        <v>653</v>
      </c>
      <c r="D5" t="s">
        <v>397</v>
      </c>
      <c r="E5">
        <v>100</v>
      </c>
      <c r="F5" t="s">
        <v>46</v>
      </c>
      <c r="G5" t="s">
        <v>46</v>
      </c>
    </row>
    <row r="6" spans="1:7">
      <c r="A6">
        <v>3</v>
      </c>
      <c r="B6" t="s">
        <v>651</v>
      </c>
      <c r="C6" t="s">
        <v>654</v>
      </c>
      <c r="D6" t="s">
        <v>387</v>
      </c>
      <c r="E6">
        <v>96</v>
      </c>
      <c r="F6" t="s">
        <v>46</v>
      </c>
      <c r="G6" t="s">
        <v>46</v>
      </c>
    </row>
    <row r="7" spans="1:7">
      <c r="A7">
        <v>4</v>
      </c>
      <c r="B7" t="s">
        <v>651</v>
      </c>
      <c r="C7" t="s">
        <v>193</v>
      </c>
      <c r="D7" t="s">
        <v>217</v>
      </c>
      <c r="E7">
        <v>95</v>
      </c>
      <c r="F7" t="s">
        <v>46</v>
      </c>
      <c r="G7" t="s">
        <v>46</v>
      </c>
    </row>
    <row r="8" spans="1:7">
      <c r="A8">
        <v>5</v>
      </c>
      <c r="B8" t="s">
        <v>651</v>
      </c>
      <c r="C8" t="s">
        <v>189</v>
      </c>
      <c r="D8" t="s">
        <v>478</v>
      </c>
      <c r="E8">
        <v>100</v>
      </c>
      <c r="F8" t="s">
        <v>46</v>
      </c>
      <c r="G8" t="s">
        <v>46</v>
      </c>
    </row>
    <row r="9" spans="1:7">
      <c r="A9">
        <v>6</v>
      </c>
      <c r="B9" t="s">
        <v>651</v>
      </c>
      <c r="C9" t="s">
        <v>655</v>
      </c>
      <c r="D9" t="s">
        <v>217</v>
      </c>
      <c r="E9">
        <v>95</v>
      </c>
      <c r="F9" t="s">
        <v>46</v>
      </c>
      <c r="G9" t="s">
        <v>46</v>
      </c>
    </row>
    <row r="10" spans="1:7">
      <c r="A10">
        <v>7</v>
      </c>
      <c r="B10" t="s">
        <v>651</v>
      </c>
      <c r="C10" t="s">
        <v>213</v>
      </c>
      <c r="D10" t="s">
        <v>217</v>
      </c>
      <c r="E10">
        <v>93</v>
      </c>
      <c r="F10" t="s">
        <v>46</v>
      </c>
      <c r="G10" t="s">
        <v>46</v>
      </c>
    </row>
    <row r="11" spans="1:7">
      <c r="A11">
        <v>8</v>
      </c>
      <c r="B11" t="s">
        <v>651</v>
      </c>
      <c r="C11" t="s">
        <v>656</v>
      </c>
      <c r="D11" t="s">
        <v>217</v>
      </c>
      <c r="E11">
        <v>95</v>
      </c>
      <c r="F11" t="s">
        <v>46</v>
      </c>
      <c r="G11" t="s">
        <v>46</v>
      </c>
    </row>
    <row r="12" spans="1:7">
      <c r="A12">
        <v>9</v>
      </c>
      <c r="B12" t="s">
        <v>651</v>
      </c>
      <c r="C12" t="s">
        <v>657</v>
      </c>
      <c r="D12" t="s">
        <v>217</v>
      </c>
      <c r="E12">
        <v>91</v>
      </c>
      <c r="F12" t="s">
        <v>46</v>
      </c>
      <c r="G12" t="s">
        <v>46</v>
      </c>
    </row>
    <row r="13" spans="1:7">
      <c r="A13">
        <v>10</v>
      </c>
      <c r="B13" t="s">
        <v>651</v>
      </c>
      <c r="C13" t="s">
        <v>658</v>
      </c>
      <c r="D13" t="s">
        <v>659</v>
      </c>
      <c r="F13" t="s">
        <v>46</v>
      </c>
      <c r="G13" t="s">
        <v>660</v>
      </c>
    </row>
    <row r="14" spans="1:7">
      <c r="A14">
        <v>11</v>
      </c>
      <c r="B14" t="s">
        <v>651</v>
      </c>
      <c r="C14" t="s">
        <v>105</v>
      </c>
      <c r="D14" t="s">
        <v>163</v>
      </c>
      <c r="F14" t="s">
        <v>46</v>
      </c>
      <c r="G14" t="s">
        <v>660</v>
      </c>
    </row>
    <row r="15" spans="1:7">
      <c r="A15">
        <v>12</v>
      </c>
      <c r="B15" t="s">
        <v>651</v>
      </c>
      <c r="C15" t="s">
        <v>661</v>
      </c>
      <c r="D15" t="s">
        <v>662</v>
      </c>
      <c r="F15" t="s">
        <v>46</v>
      </c>
      <c r="G15" t="s">
        <v>660</v>
      </c>
    </row>
    <row r="18" spans="1:6">
      <c r="A18">
        <v>1</v>
      </c>
      <c r="B18" t="s">
        <v>663</v>
      </c>
      <c r="C18" t="s">
        <v>215</v>
      </c>
      <c r="D18" t="s">
        <v>300</v>
      </c>
      <c r="E18">
        <v>100</v>
      </c>
      <c r="F18" t="s">
        <v>46</v>
      </c>
    </row>
    <row r="19" spans="1:6">
      <c r="A19">
        <v>2</v>
      </c>
      <c r="C19" t="s">
        <v>219</v>
      </c>
      <c r="D19" t="s">
        <v>270</v>
      </c>
      <c r="E19">
        <v>92</v>
      </c>
      <c r="F19" t="s">
        <v>46</v>
      </c>
    </row>
    <row r="20" spans="1:6">
      <c r="A20">
        <v>3</v>
      </c>
      <c r="C20" t="s">
        <v>226</v>
      </c>
      <c r="D20" t="s">
        <v>300</v>
      </c>
      <c r="F20" t="s">
        <v>46</v>
      </c>
    </row>
    <row r="21" spans="1:6">
      <c r="A21">
        <v>4</v>
      </c>
      <c r="C21" t="s">
        <v>664</v>
      </c>
      <c r="D21" t="s">
        <v>300</v>
      </c>
      <c r="F21" t="s">
        <v>46</v>
      </c>
    </row>
    <row r="22" spans="1:6">
      <c r="A22">
        <v>5</v>
      </c>
      <c r="C22" t="s">
        <v>233</v>
      </c>
      <c r="D22" t="s">
        <v>300</v>
      </c>
      <c r="E22">
        <v>100</v>
      </c>
      <c r="F22" t="s">
        <v>46</v>
      </c>
    </row>
    <row r="23" spans="1:6">
      <c r="A23">
        <v>6</v>
      </c>
    </row>
    <row r="24" spans="1:6">
      <c r="A24">
        <v>7</v>
      </c>
    </row>
    <row r="25" spans="1:6">
      <c r="A25">
        <v>8</v>
      </c>
    </row>
    <row r="26" spans="1:6">
      <c r="A26">
        <v>9</v>
      </c>
    </row>
    <row r="27" spans="1:6">
      <c r="A27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399B-6FAF-49E7-BD24-7AE920E9E205}">
  <dimension ref="B1:X10"/>
  <sheetViews>
    <sheetView zoomScaleNormal="60" zoomScaleSheetLayoutView="100" workbookViewId="0"/>
  </sheetViews>
  <sheetFormatPr defaultRowHeight="15"/>
  <cols>
    <col min="2" max="2" width="11.85546875" customWidth="1"/>
    <col min="3" max="3" width="11.42578125" customWidth="1"/>
    <col min="4" max="4" width="11.7109375" customWidth="1"/>
    <col min="5" max="5" width="5.7109375" customWidth="1"/>
    <col min="6" max="6" width="6.140625" customWidth="1"/>
    <col min="7" max="7" width="13.42578125" customWidth="1"/>
    <col min="8" max="8" width="14.85546875" customWidth="1"/>
    <col min="9" max="9" width="10.85546875" customWidth="1"/>
    <col min="10" max="10" width="8.28515625" customWidth="1"/>
    <col min="11" max="11" width="11.85546875" customWidth="1"/>
    <col min="12" max="12" width="12" customWidth="1"/>
    <col min="13" max="13" width="14.140625" customWidth="1"/>
    <col min="14" max="14" width="8.28515625" customWidth="1"/>
    <col min="15" max="16" width="7.140625" customWidth="1"/>
    <col min="17" max="17" width="8.7109375" customWidth="1"/>
    <col min="18" max="18" width="10.85546875" customWidth="1"/>
    <col min="19" max="19" width="10.28515625" customWidth="1"/>
    <col min="20" max="21" width="7.140625" customWidth="1"/>
    <col min="22" max="23" width="7.28515625" customWidth="1"/>
    <col min="24" max="24" width="10" customWidth="1"/>
  </cols>
  <sheetData>
    <row r="1" spans="2:24">
      <c r="C1" t="s">
        <v>665</v>
      </c>
      <c r="D1" t="s">
        <v>666</v>
      </c>
      <c r="E1" t="s">
        <v>667</v>
      </c>
      <c r="F1" t="s">
        <v>668</v>
      </c>
      <c r="G1" t="s">
        <v>147</v>
      </c>
      <c r="H1" t="s">
        <v>656</v>
      </c>
      <c r="I1" t="s">
        <v>669</v>
      </c>
      <c r="J1" t="s">
        <v>670</v>
      </c>
      <c r="K1" t="s">
        <v>671</v>
      </c>
      <c r="L1" t="s">
        <v>672</v>
      </c>
      <c r="M1" t="s">
        <v>673</v>
      </c>
      <c r="N1" t="s">
        <v>674</v>
      </c>
      <c r="O1" t="s">
        <v>675</v>
      </c>
      <c r="P1" t="s">
        <v>676</v>
      </c>
      <c r="Q1" t="s">
        <v>470</v>
      </c>
      <c r="R1" t="s">
        <v>209</v>
      </c>
      <c r="S1" t="s">
        <v>451</v>
      </c>
      <c r="T1" t="s">
        <v>677</v>
      </c>
      <c r="U1" t="s">
        <v>678</v>
      </c>
      <c r="V1" t="s">
        <v>679</v>
      </c>
      <c r="W1" t="s">
        <v>680</v>
      </c>
      <c r="X1" t="s">
        <v>681</v>
      </c>
    </row>
    <row r="3" spans="2:24">
      <c r="C3" t="s">
        <v>682</v>
      </c>
    </row>
    <row r="4" spans="2:24">
      <c r="B4" t="s">
        <v>682</v>
      </c>
    </row>
    <row r="5" spans="2:24">
      <c r="B5" t="s">
        <v>683</v>
      </c>
    </row>
    <row r="6" spans="2:24">
      <c r="B6" t="s">
        <v>684</v>
      </c>
    </row>
    <row r="7" spans="2:24">
      <c r="B7" t="s">
        <v>685</v>
      </c>
    </row>
    <row r="8" spans="2:24">
      <c r="B8" t="s">
        <v>686</v>
      </c>
    </row>
    <row r="9" spans="2:24">
      <c r="B9" t="s">
        <v>687</v>
      </c>
    </row>
    <row r="10" spans="2:24">
      <c r="B10" t="s">
        <v>688</v>
      </c>
    </row>
  </sheetData>
  <dataValidations count="1">
    <dataValidation type="list" allowBlank="1" showInputMessage="1" showErrorMessage="1" sqref="A5 C3" xr:uid="{647850E8-54A0-4323-AE4D-58CCAF54905D}">
      <formula1>$B$4:$B$10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14942-8DE1-4522-B300-575E655C1DFC}">
  <dimension ref="A1"/>
  <sheetViews>
    <sheetView workbookViewId="0">
      <selection activeCell="L10" sqref="L10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Neha Patil</dc:creator>
  <cp:keywords/>
  <dc:description/>
  <cp:lastModifiedBy/>
  <cp:revision/>
  <dcterms:created xsi:type="dcterms:W3CDTF">2024-06-15T22:47:51Z</dcterms:created>
  <dcterms:modified xsi:type="dcterms:W3CDTF">2025-11-24T19:00:00Z</dcterms:modified>
  <cp:category/>
  <cp:contentStatus/>
</cp:coreProperties>
</file>